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06\Desktop\Auto_code\会計\"/>
    </mc:Choice>
  </mc:AlternateContent>
  <xr:revisionPtr revIDLastSave="0" documentId="13_ncr:1_{D1499B2B-57FD-402E-BB04-C75E2B35920E}" xr6:coauthVersionLast="47" xr6:coauthVersionMax="47" xr10:uidLastSave="{00000000-0000-0000-0000-000000000000}"/>
  <bookViews>
    <workbookView xWindow="-135" yWindow="0" windowWidth="14670" windowHeight="15480" xr2:uid="{00000000-000D-0000-FFFF-FFFF00000000}"/>
  </bookViews>
  <sheets>
    <sheet name="データ" sheetId="38" r:id="rId1"/>
    <sheet name="輸入品消費税（日和産業）" sheetId="23" r:id="rId2"/>
    <sheet name="輸入品消費税（日清丸紅" sheetId="24" r:id="rId3"/>
    <sheet name="合計" sheetId="29" r:id="rId4"/>
    <sheet name="消費税負担分2025" sheetId="37" r:id="rId5"/>
    <sheet name="消費税負担分2024" sheetId="36" r:id="rId6"/>
    <sheet name="消費税負担分2023" sheetId="35" r:id="rId7"/>
    <sheet name="消費税負担分2022" sheetId="34" r:id="rId8"/>
    <sheet name="消費税負担分2021" sheetId="33" r:id="rId9"/>
    <sheet name="仮払い消費税（雪印） 2020" sheetId="32" r:id="rId10"/>
    <sheet name="仮払い消費税（雪印）2019" sheetId="30" r:id="rId11"/>
    <sheet name="メイズ消費税（雪印）マイナス" sheetId="27" r:id="rId12"/>
    <sheet name="メイズ消費税（日和）マイナス" sheetId="28" r:id="rId13"/>
  </sheets>
  <definedNames>
    <definedName name="_xlnm._FilterDatabase" localSheetId="9" hidden="1">'仮払い消費税（雪印） 2020'!$A$1:$J$29</definedName>
    <definedName name="_xlnm._FilterDatabase" localSheetId="10" hidden="1">'仮払い消費税（雪印）2019'!$A$1:$H$14</definedName>
    <definedName name="_xlnm._FilterDatabase" localSheetId="8" hidden="1">消費税負担分2021!$A$3:$Q$53</definedName>
    <definedName name="_xlnm._FilterDatabase" localSheetId="7" hidden="1">消費税負担分2022!$A$3:$Q$52</definedName>
    <definedName name="_xlnm._FilterDatabase" localSheetId="6" hidden="1">消費税負担分2023!$A$3:$Q$52</definedName>
    <definedName name="_xlnm._FilterDatabase" localSheetId="5" hidden="1">消費税負担分2024!$A$3:$Q$52</definedName>
    <definedName name="_xlnm._FilterDatabase" localSheetId="4" hidden="1">消費税負担分2025!$B$3:$R$52</definedName>
    <definedName name="MICHINOK_からのクエリ" localSheetId="0" hidden="1">データ!$B$2:$G$913</definedName>
    <definedName name="_xlnm.Print_Area" localSheetId="11">'メイズ消費税（雪印）マイナス'!$A$3:$L$38</definedName>
    <definedName name="_xlnm.Print_Area" localSheetId="12">'メイズ消費税（日和）マイナス'!$A$3:$L$38</definedName>
    <definedName name="_xlnm.Print_Area" localSheetId="9">'仮払い消費税（雪印） 2020'!$A$1:$O$29</definedName>
    <definedName name="_xlnm.Print_Area" localSheetId="10">'仮払い消費税（雪印）2019'!$A$1:$F$56</definedName>
    <definedName name="_xlnm.Print_Area" localSheetId="3">合計!$A$7:$F$62</definedName>
    <definedName name="_xlnm.Print_Area" localSheetId="8">消費税負担分2021!$A$3:$Q$53</definedName>
    <definedName name="_xlnm.Print_Area" localSheetId="7">消費税負担分2022!$A$3:$Q$52</definedName>
    <definedName name="_xlnm.Print_Area" localSheetId="6">消費税負担分2023!$A$3:$Q$52</definedName>
    <definedName name="_xlnm.Print_Area" localSheetId="5">消費税負担分2024!$A$3:$Q$52</definedName>
    <definedName name="_xlnm.Print_Area" localSheetId="4">消費税負担分2025!$B$3:$R$52</definedName>
    <definedName name="_xlnm.Print_Area" localSheetId="2">'輸入品消費税（日清丸紅'!$A$3:$L$36</definedName>
    <definedName name="_xlnm.Print_Area" localSheetId="1">'輸入品消費税（日和産業）'!$A$3:$L$37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7" l="1"/>
  <c r="H29" i="38"/>
  <c r="H110" i="38"/>
  <c r="H111" i="38"/>
  <c r="H112" i="38"/>
  <c r="I112" i="38" s="1"/>
  <c r="H113" i="38"/>
  <c r="I113" i="38" s="1"/>
  <c r="H114" i="38"/>
  <c r="I114" i="38" s="1"/>
  <c r="H115" i="38"/>
  <c r="H116" i="38"/>
  <c r="I116" i="38" s="1"/>
  <c r="H117" i="38"/>
  <c r="I117" i="38" s="1"/>
  <c r="H118" i="38"/>
  <c r="I118" i="38" s="1"/>
  <c r="H119" i="38"/>
  <c r="I119" i="38" s="1"/>
  <c r="H120" i="38"/>
  <c r="I120" i="38" s="1"/>
  <c r="H121" i="38"/>
  <c r="I121" i="38" s="1"/>
  <c r="H122" i="38"/>
  <c r="H123" i="38"/>
  <c r="I123" i="38" s="1"/>
  <c r="H124" i="38"/>
  <c r="I124" i="38" s="1"/>
  <c r="H125" i="38"/>
  <c r="I125" i="38" s="1"/>
  <c r="H126" i="38"/>
  <c r="I126" i="38" s="1"/>
  <c r="H311" i="38"/>
  <c r="H312" i="38"/>
  <c r="I312" i="38" s="1"/>
  <c r="H190" i="38"/>
  <c r="H191" i="38"/>
  <c r="I191" i="38" s="1"/>
  <c r="H192" i="38"/>
  <c r="I192" i="38" s="1"/>
  <c r="H193" i="38"/>
  <c r="I193" i="38" s="1"/>
  <c r="H194" i="38"/>
  <c r="I194" i="38" s="1"/>
  <c r="H195" i="38"/>
  <c r="H196" i="38"/>
  <c r="I196" i="38" s="1"/>
  <c r="H197" i="38"/>
  <c r="I197" i="38" s="1"/>
  <c r="H198" i="38"/>
  <c r="I198" i="38" s="1"/>
  <c r="H199" i="38"/>
  <c r="I199" i="38" s="1"/>
  <c r="H200" i="38"/>
  <c r="I200" i="38" s="1"/>
  <c r="H412" i="38"/>
  <c r="H413" i="38"/>
  <c r="I413" i="38" s="1"/>
  <c r="H414" i="38"/>
  <c r="I414" i="38" s="1"/>
  <c r="H415" i="38"/>
  <c r="I415" i="38" s="1"/>
  <c r="H127" i="38"/>
  <c r="I127" i="38" s="1"/>
  <c r="H480" i="38"/>
  <c r="H481" i="38"/>
  <c r="H482" i="38"/>
  <c r="I482" i="38" s="1"/>
  <c r="H483" i="38"/>
  <c r="I483" i="38" s="1"/>
  <c r="H484" i="38"/>
  <c r="I484" i="38" s="1"/>
  <c r="H485" i="38"/>
  <c r="I485" i="38" s="1"/>
  <c r="H268" i="38"/>
  <c r="H269" i="38"/>
  <c r="I269" i="38" s="1"/>
  <c r="H569" i="38"/>
  <c r="H656" i="38"/>
  <c r="H657" i="38"/>
  <c r="I657" i="38" s="1"/>
  <c r="H658" i="38"/>
  <c r="I658" i="38" s="1"/>
  <c r="H659" i="38"/>
  <c r="I659" i="38" s="1"/>
  <c r="H660" i="38"/>
  <c r="H661" i="38"/>
  <c r="H839" i="38"/>
  <c r="H416" i="38"/>
  <c r="H348" i="38"/>
  <c r="H270" i="38"/>
  <c r="H486" i="38"/>
  <c r="H840" i="38"/>
  <c r="H30" i="38"/>
  <c r="H313" i="38"/>
  <c r="H417" i="38"/>
  <c r="I417" i="38" s="1"/>
  <c r="H487" i="38"/>
  <c r="H271" i="38"/>
  <c r="H272" i="38"/>
  <c r="H273" i="38"/>
  <c r="I273" i="38" s="1"/>
  <c r="H488" i="38"/>
  <c r="H662" i="38"/>
  <c r="H380" i="38"/>
  <c r="H381" i="38"/>
  <c r="I381" i="38" s="1"/>
  <c r="H382" i="38"/>
  <c r="I382" i="38" s="1"/>
  <c r="H383" i="38"/>
  <c r="I383" i="38" s="1"/>
  <c r="H384" i="38"/>
  <c r="I384" i="38" s="1"/>
  <c r="H31" i="38"/>
  <c r="I31" i="38" s="1"/>
  <c r="H32" i="38"/>
  <c r="I32" i="38" s="1"/>
  <c r="H33" i="38"/>
  <c r="I33" i="38" s="1"/>
  <c r="H128" i="38"/>
  <c r="H129" i="38"/>
  <c r="I129" i="38" s="1"/>
  <c r="H130" i="38"/>
  <c r="I130" i="38" s="1"/>
  <c r="H131" i="38"/>
  <c r="I131" i="38" s="1"/>
  <c r="H132" i="38"/>
  <c r="I132" i="38" s="1"/>
  <c r="H133" i="38"/>
  <c r="I133" i="38" s="1"/>
  <c r="H134" i="38"/>
  <c r="I134" i="38" s="1"/>
  <c r="H663" i="38"/>
  <c r="H664" i="38"/>
  <c r="I664" i="38" s="1"/>
  <c r="H665" i="38"/>
  <c r="I665" i="38" s="1"/>
  <c r="H666" i="38"/>
  <c r="I666" i="38" s="1"/>
  <c r="H667" i="38"/>
  <c r="H570" i="38"/>
  <c r="H34" i="38"/>
  <c r="H349" i="38"/>
  <c r="H455" i="38"/>
  <c r="H668" i="38"/>
  <c r="H669" i="38"/>
  <c r="H670" i="38"/>
  <c r="I670" i="38" s="1"/>
  <c r="H671" i="38"/>
  <c r="I671" i="38" s="1"/>
  <c r="H672" i="38"/>
  <c r="I672" i="38" s="1"/>
  <c r="H673" i="38"/>
  <c r="I673" i="38" s="1"/>
  <c r="H674" i="38"/>
  <c r="I674" i="38" s="1"/>
  <c r="H675" i="38"/>
  <c r="H676" i="38"/>
  <c r="I676" i="38" s="1"/>
  <c r="H677" i="38"/>
  <c r="I677" i="38" s="1"/>
  <c r="H274" i="38"/>
  <c r="H275" i="38"/>
  <c r="I275" i="38" s="1"/>
  <c r="H276" i="38"/>
  <c r="I276" i="38" s="1"/>
  <c r="H277" i="38"/>
  <c r="I277" i="38" s="1"/>
  <c r="H678" i="38"/>
  <c r="H679" i="38"/>
  <c r="I679" i="38" s="1"/>
  <c r="H680" i="38"/>
  <c r="I680" i="38" s="1"/>
  <c r="H681" i="38"/>
  <c r="I681" i="38" s="1"/>
  <c r="H682" i="38"/>
  <c r="I682" i="38" s="1"/>
  <c r="H683" i="38"/>
  <c r="H684" i="38"/>
  <c r="I684" i="38" s="1"/>
  <c r="H685" i="38"/>
  <c r="I685" i="38" s="1"/>
  <c r="H686" i="38"/>
  <c r="I686" i="38" s="1"/>
  <c r="H687" i="38"/>
  <c r="I687" i="38" s="1"/>
  <c r="H688" i="38"/>
  <c r="I688" i="38" s="1"/>
  <c r="H385" i="38"/>
  <c r="H386" i="38"/>
  <c r="I386" i="38" s="1"/>
  <c r="H387" i="38"/>
  <c r="I387" i="38" s="1"/>
  <c r="H388" i="38"/>
  <c r="I388" i="38" s="1"/>
  <c r="H689" i="38"/>
  <c r="I689" i="38" s="1"/>
  <c r="H690" i="38"/>
  <c r="I690" i="38" s="1"/>
  <c r="H691" i="38"/>
  <c r="H692" i="38"/>
  <c r="I692" i="38" s="1"/>
  <c r="H693" i="38"/>
  <c r="I693" i="38" s="1"/>
  <c r="H389" i="38"/>
  <c r="H390" i="38"/>
  <c r="I390" i="38" s="1"/>
  <c r="H391" i="38"/>
  <c r="I391" i="38" s="1"/>
  <c r="H392" i="38"/>
  <c r="I392" i="38" s="1"/>
  <c r="H809" i="38"/>
  <c r="H810" i="38"/>
  <c r="I810" i="38" s="1"/>
  <c r="H841" i="38"/>
  <c r="H811" i="38"/>
  <c r="I811" i="38" s="1"/>
  <c r="H812" i="38"/>
  <c r="I812" i="38" s="1"/>
  <c r="H813" i="38"/>
  <c r="I813" i="38" s="1"/>
  <c r="H814" i="38"/>
  <c r="I814" i="38" s="1"/>
  <c r="H842" i="38"/>
  <c r="H35" i="38"/>
  <c r="H36" i="38"/>
  <c r="I36" i="38" s="1"/>
  <c r="H694" i="38"/>
  <c r="H278" i="38"/>
  <c r="H279" i="38"/>
  <c r="I279" i="38" s="1"/>
  <c r="H280" i="38"/>
  <c r="I280" i="38" s="1"/>
  <c r="H37" i="38"/>
  <c r="H38" i="38"/>
  <c r="I38" i="38" s="1"/>
  <c r="H39" i="38"/>
  <c r="I39" i="38" s="1"/>
  <c r="H40" i="38"/>
  <c r="H41" i="38"/>
  <c r="H42" i="38"/>
  <c r="I42" i="38" s="1"/>
  <c r="H843" i="38"/>
  <c r="H844" i="38"/>
  <c r="I844" i="38" s="1"/>
  <c r="H845" i="38"/>
  <c r="I845" i="38" s="1"/>
  <c r="H846" i="38"/>
  <c r="I846" i="38" s="1"/>
  <c r="H847" i="38"/>
  <c r="I847" i="38" s="1"/>
  <c r="H393" i="38"/>
  <c r="H394" i="38"/>
  <c r="I394" i="38" s="1"/>
  <c r="H395" i="38"/>
  <c r="I395" i="38" s="1"/>
  <c r="H135" i="38"/>
  <c r="H43" i="38"/>
  <c r="H489" i="38"/>
  <c r="H490" i="38"/>
  <c r="I490" i="38" s="1"/>
  <c r="H491" i="38"/>
  <c r="I491" i="38" s="1"/>
  <c r="H492" i="38"/>
  <c r="I492" i="38" s="1"/>
  <c r="H493" i="38"/>
  <c r="I493" i="38" s="1"/>
  <c r="H44" i="38"/>
  <c r="H45" i="38"/>
  <c r="I45" i="38" s="1"/>
  <c r="H3" i="38"/>
  <c r="H494" i="38"/>
  <c r="H46" i="38"/>
  <c r="I46" i="38" s="1"/>
  <c r="H47" i="38"/>
  <c r="I47" i="38" s="1"/>
  <c r="H48" i="38"/>
  <c r="H49" i="38"/>
  <c r="I49" i="38" s="1"/>
  <c r="H50" i="38"/>
  <c r="I50" i="38" s="1"/>
  <c r="H51" i="38"/>
  <c r="I51" i="38" s="1"/>
  <c r="H52" i="38"/>
  <c r="I52" i="38" s="1"/>
  <c r="H53" i="38"/>
  <c r="I53" i="38" s="1"/>
  <c r="H54" i="38"/>
  <c r="I54" i="38" s="1"/>
  <c r="H55" i="38"/>
  <c r="I55" i="38" s="1"/>
  <c r="H56" i="38"/>
  <c r="I56" i="38" s="1"/>
  <c r="H57" i="38"/>
  <c r="I57" i="38" s="1"/>
  <c r="H58" i="38"/>
  <c r="I58" i="38" s="1"/>
  <c r="H4" i="38"/>
  <c r="H5" i="38"/>
  <c r="H6" i="38"/>
  <c r="H7" i="38"/>
  <c r="I7" i="38" s="1"/>
  <c r="H136" i="38"/>
  <c r="H418" i="38"/>
  <c r="H419" i="38"/>
  <c r="I419" i="38" s="1"/>
  <c r="H420" i="38"/>
  <c r="I420" i="38" s="1"/>
  <c r="H350" i="38"/>
  <c r="H351" i="38"/>
  <c r="I351" i="38" s="1"/>
  <c r="H352" i="38"/>
  <c r="I352" i="38" s="1"/>
  <c r="H353" i="38"/>
  <c r="I353" i="38" s="1"/>
  <c r="H201" i="38"/>
  <c r="H202" i="38"/>
  <c r="I202" i="38" s="1"/>
  <c r="H203" i="38"/>
  <c r="I203" i="38" s="1"/>
  <c r="H204" i="38"/>
  <c r="I204" i="38" s="1"/>
  <c r="H205" i="38"/>
  <c r="I205" i="38" s="1"/>
  <c r="H206" i="38"/>
  <c r="I206" i="38" s="1"/>
  <c r="H207" i="38"/>
  <c r="I207" i="38" s="1"/>
  <c r="H208" i="38"/>
  <c r="I208" i="38" s="1"/>
  <c r="H209" i="38"/>
  <c r="I209" i="38" s="1"/>
  <c r="H210" i="38"/>
  <c r="I210" i="38" s="1"/>
  <c r="H211" i="38"/>
  <c r="I211" i="38" s="1"/>
  <c r="H212" i="38"/>
  <c r="I212" i="38" s="1"/>
  <c r="H213" i="38"/>
  <c r="I213" i="38" s="1"/>
  <c r="H214" i="38"/>
  <c r="I214" i="38" s="1"/>
  <c r="H215" i="38"/>
  <c r="I215" i="38" s="1"/>
  <c r="H495" i="38"/>
  <c r="H496" i="38"/>
  <c r="I496" i="38" s="1"/>
  <c r="H497" i="38"/>
  <c r="I497" i="38" s="1"/>
  <c r="H498" i="38"/>
  <c r="I498" i="38" s="1"/>
  <c r="H499" i="38"/>
  <c r="I499" i="38" s="1"/>
  <c r="H500" i="38"/>
  <c r="I500" i="38" s="1"/>
  <c r="H501" i="38"/>
  <c r="I501" i="38" s="1"/>
  <c r="H502" i="38"/>
  <c r="I502" i="38" s="1"/>
  <c r="H503" i="38"/>
  <c r="I503" i="38" s="1"/>
  <c r="H504" i="38"/>
  <c r="I504" i="38" s="1"/>
  <c r="H281" i="38"/>
  <c r="H282" i="38"/>
  <c r="I282" i="38" s="1"/>
  <c r="H283" i="38"/>
  <c r="I283" i="38" s="1"/>
  <c r="H505" i="38"/>
  <c r="H506" i="38"/>
  <c r="I506" i="38" s="1"/>
  <c r="H456" i="38"/>
  <c r="H284" i="38"/>
  <c r="H571" i="38"/>
  <c r="H572" i="38"/>
  <c r="I572" i="38" s="1"/>
  <c r="H573" i="38"/>
  <c r="I573" i="38" s="1"/>
  <c r="H574" i="38"/>
  <c r="H575" i="38"/>
  <c r="I575" i="38" s="1"/>
  <c r="H457" i="38"/>
  <c r="H458" i="38"/>
  <c r="I458" i="38" s="1"/>
  <c r="H459" i="38"/>
  <c r="I459" i="38" s="1"/>
  <c r="H137" i="38"/>
  <c r="H138" i="38"/>
  <c r="I138" i="38" s="1"/>
  <c r="H139" i="38"/>
  <c r="I139" i="38" s="1"/>
  <c r="H140" i="38"/>
  <c r="I140" i="38" s="1"/>
  <c r="H216" i="38"/>
  <c r="H217" i="38"/>
  <c r="I217" i="38" s="1"/>
  <c r="H218" i="38"/>
  <c r="I218" i="38" s="1"/>
  <c r="H219" i="38"/>
  <c r="I219" i="38" s="1"/>
  <c r="H220" i="38"/>
  <c r="I220" i="38" s="1"/>
  <c r="H221" i="38"/>
  <c r="I221" i="38" s="1"/>
  <c r="H222" i="38"/>
  <c r="H223" i="38"/>
  <c r="I223" i="38" s="1"/>
  <c r="H224" i="38"/>
  <c r="I224" i="38" s="1"/>
  <c r="H225" i="38"/>
  <c r="I225" i="38" s="1"/>
  <c r="H226" i="38"/>
  <c r="I226" i="38" s="1"/>
  <c r="H227" i="38"/>
  <c r="I227" i="38" s="1"/>
  <c r="H228" i="38"/>
  <c r="I228" i="38" s="1"/>
  <c r="H229" i="38"/>
  <c r="I229" i="38" s="1"/>
  <c r="H230" i="38"/>
  <c r="I230" i="38" s="1"/>
  <c r="H231" i="38"/>
  <c r="I231" i="38" s="1"/>
  <c r="H232" i="38"/>
  <c r="I232" i="38" s="1"/>
  <c r="H233" i="38"/>
  <c r="H234" i="38"/>
  <c r="I234" i="38" s="1"/>
  <c r="H235" i="38"/>
  <c r="I235" i="38" s="1"/>
  <c r="H421" i="38"/>
  <c r="H422" i="38"/>
  <c r="I422" i="38" s="1"/>
  <c r="H507" i="38"/>
  <c r="H508" i="38"/>
  <c r="I508" i="38" s="1"/>
  <c r="H509" i="38"/>
  <c r="I509" i="38" s="1"/>
  <c r="H510" i="38"/>
  <c r="I510" i="38" s="1"/>
  <c r="H511" i="38"/>
  <c r="I511" i="38" s="1"/>
  <c r="H512" i="38"/>
  <c r="I512" i="38" s="1"/>
  <c r="H285" i="38"/>
  <c r="H286" i="38"/>
  <c r="I286" i="38" s="1"/>
  <c r="H287" i="38"/>
  <c r="H288" i="38"/>
  <c r="I288" i="38" s="1"/>
  <c r="H513" i="38"/>
  <c r="H514" i="38"/>
  <c r="I514" i="38" s="1"/>
  <c r="H515" i="38"/>
  <c r="I515" i="38" s="1"/>
  <c r="H516" i="38"/>
  <c r="I516" i="38" s="1"/>
  <c r="H517" i="38"/>
  <c r="I517" i="38" s="1"/>
  <c r="H518" i="38"/>
  <c r="I518" i="38" s="1"/>
  <c r="H519" i="38"/>
  <c r="I519" i="38" s="1"/>
  <c r="H520" i="38"/>
  <c r="I520" i="38" s="1"/>
  <c r="H521" i="38"/>
  <c r="I521" i="38" s="1"/>
  <c r="H522" i="38"/>
  <c r="I522" i="38" s="1"/>
  <c r="H523" i="38"/>
  <c r="I523" i="38" s="1"/>
  <c r="H695" i="38"/>
  <c r="H696" i="38"/>
  <c r="I696" i="38" s="1"/>
  <c r="H697" i="38"/>
  <c r="I697" i="38" s="1"/>
  <c r="H698" i="38"/>
  <c r="I698" i="38" s="1"/>
  <c r="H699" i="38"/>
  <c r="I699" i="38" s="1"/>
  <c r="H396" i="38"/>
  <c r="H397" i="38"/>
  <c r="I397" i="38" s="1"/>
  <c r="H524" i="38"/>
  <c r="H525" i="38"/>
  <c r="I525" i="38" s="1"/>
  <c r="H526" i="38"/>
  <c r="I526" i="38" s="1"/>
  <c r="H527" i="38"/>
  <c r="H528" i="38"/>
  <c r="I528" i="38" s="1"/>
  <c r="H289" i="38"/>
  <c r="H290" i="38"/>
  <c r="I290" i="38" s="1"/>
  <c r="H291" i="38"/>
  <c r="I291" i="38" s="1"/>
  <c r="H576" i="38"/>
  <c r="H577" i="38"/>
  <c r="I577" i="38" s="1"/>
  <c r="H578" i="38"/>
  <c r="I578" i="38" s="1"/>
  <c r="H579" i="38"/>
  <c r="I579" i="38" s="1"/>
  <c r="H580" i="38"/>
  <c r="I580" i="38" s="1"/>
  <c r="H581" i="38"/>
  <c r="I581" i="38" s="1"/>
  <c r="H582" i="38"/>
  <c r="I582" i="38" s="1"/>
  <c r="H583" i="38"/>
  <c r="I583" i="38" s="1"/>
  <c r="H584" i="38"/>
  <c r="I584" i="38" s="1"/>
  <c r="H585" i="38"/>
  <c r="I585" i="38" s="1"/>
  <c r="H460" i="38"/>
  <c r="H461" i="38"/>
  <c r="I461" i="38" s="1"/>
  <c r="H462" i="38"/>
  <c r="I462" i="38" s="1"/>
  <c r="H463" i="38"/>
  <c r="I463" i="38" s="1"/>
  <c r="H586" i="38"/>
  <c r="H464" i="38"/>
  <c r="H465" i="38"/>
  <c r="I465" i="38" s="1"/>
  <c r="H587" i="38"/>
  <c r="I587" i="38" s="1"/>
  <c r="H588" i="38"/>
  <c r="I588" i="38" s="1"/>
  <c r="H589" i="38"/>
  <c r="I589" i="38" s="1"/>
  <c r="H590" i="38"/>
  <c r="I590" i="38" s="1"/>
  <c r="H848" i="38"/>
  <c r="H849" i="38"/>
  <c r="I849" i="38" s="1"/>
  <c r="H850" i="38"/>
  <c r="I850" i="38" s="1"/>
  <c r="H851" i="38"/>
  <c r="I851" i="38" s="1"/>
  <c r="H852" i="38"/>
  <c r="I852" i="38" s="1"/>
  <c r="H853" i="38"/>
  <c r="I853" i="38" s="1"/>
  <c r="H854" i="38"/>
  <c r="I854" i="38" s="1"/>
  <c r="H855" i="38"/>
  <c r="I855" i="38" s="1"/>
  <c r="H856" i="38"/>
  <c r="I856" i="38" s="1"/>
  <c r="H857" i="38"/>
  <c r="I857" i="38" s="1"/>
  <c r="H858" i="38"/>
  <c r="I858" i="38" s="1"/>
  <c r="H859" i="38"/>
  <c r="I859" i="38" s="1"/>
  <c r="H860" i="38"/>
  <c r="I860" i="38" s="1"/>
  <c r="H861" i="38"/>
  <c r="I861" i="38" s="1"/>
  <c r="H862" i="38"/>
  <c r="I862" i="38" s="1"/>
  <c r="H398" i="38"/>
  <c r="H399" i="38"/>
  <c r="I399" i="38" s="1"/>
  <c r="H863" i="38"/>
  <c r="H423" i="38"/>
  <c r="H424" i="38"/>
  <c r="I424" i="38" s="1"/>
  <c r="H425" i="38"/>
  <c r="I425" i="38" s="1"/>
  <c r="H426" i="38"/>
  <c r="I426" i="38" s="1"/>
  <c r="H427" i="38"/>
  <c r="I427" i="38" s="1"/>
  <c r="H428" i="38"/>
  <c r="I428" i="38" s="1"/>
  <c r="H429" i="38"/>
  <c r="I429" i="38" s="1"/>
  <c r="H430" i="38"/>
  <c r="I430" i="38" s="1"/>
  <c r="H340" i="38"/>
  <c r="H341" i="38"/>
  <c r="I341" i="38" s="1"/>
  <c r="H342" i="38"/>
  <c r="I342" i="38" s="1"/>
  <c r="H343" i="38"/>
  <c r="I343" i="38" s="1"/>
  <c r="H431" i="38"/>
  <c r="H432" i="38"/>
  <c r="I432" i="38" s="1"/>
  <c r="H433" i="38"/>
  <c r="I433" i="38" s="1"/>
  <c r="H434" i="38"/>
  <c r="I434" i="38" s="1"/>
  <c r="H435" i="38"/>
  <c r="H529" i="38"/>
  <c r="H530" i="38"/>
  <c r="I530" i="38" s="1"/>
  <c r="H531" i="38"/>
  <c r="I531" i="38" s="1"/>
  <c r="H532" i="38"/>
  <c r="I532" i="38" s="1"/>
  <c r="H533" i="38"/>
  <c r="I533" i="38" s="1"/>
  <c r="H534" i="38"/>
  <c r="I534" i="38" s="1"/>
  <c r="H535" i="38"/>
  <c r="I535" i="38" s="1"/>
  <c r="H591" i="38"/>
  <c r="H592" i="38"/>
  <c r="I592" i="38" s="1"/>
  <c r="H593" i="38"/>
  <c r="I593" i="38" s="1"/>
  <c r="H594" i="38"/>
  <c r="I594" i="38" s="1"/>
  <c r="H595" i="38"/>
  <c r="H596" i="38"/>
  <c r="H597" i="38"/>
  <c r="I597" i="38" s="1"/>
  <c r="H598" i="38"/>
  <c r="I598" i="38" s="1"/>
  <c r="H599" i="38"/>
  <c r="I599" i="38" s="1"/>
  <c r="H466" i="38"/>
  <c r="H600" i="38"/>
  <c r="H601" i="38"/>
  <c r="I601" i="38" s="1"/>
  <c r="H700" i="38"/>
  <c r="H701" i="38"/>
  <c r="I701" i="38" s="1"/>
  <c r="H467" i="38"/>
  <c r="I467" i="38" s="1"/>
  <c r="H468" i="38"/>
  <c r="I468" i="38" s="1"/>
  <c r="H469" i="38"/>
  <c r="H702" i="38"/>
  <c r="H59" i="38"/>
  <c r="H60" i="38"/>
  <c r="I60" i="38" s="1"/>
  <c r="H61" i="38"/>
  <c r="I61" i="38" s="1"/>
  <c r="H62" i="38"/>
  <c r="I62" i="38" s="1"/>
  <c r="H63" i="38"/>
  <c r="I63" i="38" s="1"/>
  <c r="H64" i="38"/>
  <c r="I64" i="38" s="1"/>
  <c r="H65" i="38"/>
  <c r="I65" i="38" s="1"/>
  <c r="H66" i="38"/>
  <c r="I66" i="38" s="1"/>
  <c r="H67" i="38"/>
  <c r="I67" i="38" s="1"/>
  <c r="H68" i="38"/>
  <c r="I68" i="38" s="1"/>
  <c r="H69" i="38"/>
  <c r="H70" i="38"/>
  <c r="I70" i="38" s="1"/>
  <c r="H8" i="38"/>
  <c r="H9" i="38"/>
  <c r="I9" i="38" s="1"/>
  <c r="H10" i="38"/>
  <c r="I10" i="38" s="1"/>
  <c r="H703" i="38"/>
  <c r="H704" i="38"/>
  <c r="I704" i="38" s="1"/>
  <c r="H705" i="38"/>
  <c r="I705" i="38" s="1"/>
  <c r="H706" i="38"/>
  <c r="I706" i="38" s="1"/>
  <c r="H707" i="38"/>
  <c r="I707" i="38" s="1"/>
  <c r="H708" i="38"/>
  <c r="I708" i="38" s="1"/>
  <c r="H709" i="38"/>
  <c r="I709" i="38" s="1"/>
  <c r="H710" i="38"/>
  <c r="H711" i="38"/>
  <c r="I711" i="38" s="1"/>
  <c r="H712" i="38"/>
  <c r="I712" i="38" s="1"/>
  <c r="H713" i="38"/>
  <c r="I713" i="38" s="1"/>
  <c r="H714" i="38"/>
  <c r="I714" i="38" s="1"/>
  <c r="H715" i="38"/>
  <c r="I715" i="38" s="1"/>
  <c r="H716" i="38"/>
  <c r="I716" i="38" s="1"/>
  <c r="H717" i="38"/>
  <c r="I717" i="38" s="1"/>
  <c r="H718" i="38"/>
  <c r="I718" i="38" s="1"/>
  <c r="H719" i="38"/>
  <c r="I719" i="38" s="1"/>
  <c r="H720" i="38"/>
  <c r="I720" i="38" s="1"/>
  <c r="H721" i="38"/>
  <c r="I721" i="38" s="1"/>
  <c r="H722" i="38"/>
  <c r="I722" i="38" s="1"/>
  <c r="H799" i="38"/>
  <c r="H800" i="38"/>
  <c r="I800" i="38" s="1"/>
  <c r="H801" i="38"/>
  <c r="I801" i="38" s="1"/>
  <c r="H802" i="38"/>
  <c r="I802" i="38" s="1"/>
  <c r="H803" i="38"/>
  <c r="I803" i="38" s="1"/>
  <c r="H723" i="38"/>
  <c r="H724" i="38"/>
  <c r="I724" i="38" s="1"/>
  <c r="H725" i="38"/>
  <c r="I725" i="38" s="1"/>
  <c r="H726" i="38"/>
  <c r="I726" i="38" s="1"/>
  <c r="H727" i="38"/>
  <c r="I727" i="38" s="1"/>
  <c r="H728" i="38"/>
  <c r="I728" i="38" s="1"/>
  <c r="H729" i="38"/>
  <c r="I729" i="38" s="1"/>
  <c r="H730" i="38"/>
  <c r="I730" i="38" s="1"/>
  <c r="H731" i="38"/>
  <c r="I731" i="38" s="1"/>
  <c r="H732" i="38"/>
  <c r="I732" i="38" s="1"/>
  <c r="H733" i="38"/>
  <c r="I733" i="38" s="1"/>
  <c r="H734" i="38"/>
  <c r="I734" i="38" s="1"/>
  <c r="H815" i="38"/>
  <c r="H816" i="38"/>
  <c r="I816" i="38" s="1"/>
  <c r="H817" i="38"/>
  <c r="I817" i="38" s="1"/>
  <c r="H818" i="38"/>
  <c r="I818" i="38" s="1"/>
  <c r="H71" i="38"/>
  <c r="H72" i="38"/>
  <c r="I72" i="38" s="1"/>
  <c r="H73" i="38"/>
  <c r="I73" i="38" s="1"/>
  <c r="H74" i="38"/>
  <c r="H75" i="38"/>
  <c r="I75" i="38" s="1"/>
  <c r="H76" i="38"/>
  <c r="I76" i="38" s="1"/>
  <c r="H77" i="38"/>
  <c r="I77" i="38" s="1"/>
  <c r="H78" i="38"/>
  <c r="I78" i="38" s="1"/>
  <c r="H79" i="38"/>
  <c r="I79" i="38" s="1"/>
  <c r="H80" i="38"/>
  <c r="I80" i="38" s="1"/>
  <c r="H141" i="38"/>
  <c r="H142" i="38"/>
  <c r="I142" i="38" s="1"/>
  <c r="H864" i="38"/>
  <c r="H865" i="38"/>
  <c r="I865" i="38" s="1"/>
  <c r="H866" i="38"/>
  <c r="H867" i="38"/>
  <c r="I867" i="38" s="1"/>
  <c r="H868" i="38"/>
  <c r="I868" i="38" s="1"/>
  <c r="H143" i="38"/>
  <c r="H144" i="38"/>
  <c r="I144" i="38" s="1"/>
  <c r="H145" i="38"/>
  <c r="I145" i="38" s="1"/>
  <c r="H146" i="38"/>
  <c r="I146" i="38" s="1"/>
  <c r="H147" i="38"/>
  <c r="I147" i="38" s="1"/>
  <c r="H148" i="38"/>
  <c r="I148" i="38" s="1"/>
  <c r="H149" i="38"/>
  <c r="I149" i="38" s="1"/>
  <c r="H150" i="38"/>
  <c r="I150" i="38" s="1"/>
  <c r="H151" i="38"/>
  <c r="I151" i="38" s="1"/>
  <c r="H152" i="38"/>
  <c r="I152" i="38" s="1"/>
  <c r="H869" i="38"/>
  <c r="H870" i="38"/>
  <c r="I870" i="38" s="1"/>
  <c r="H871" i="38"/>
  <c r="I871" i="38" s="1"/>
  <c r="H872" i="38"/>
  <c r="I872" i="38" s="1"/>
  <c r="H873" i="38"/>
  <c r="I873" i="38" s="1"/>
  <c r="H819" i="38"/>
  <c r="H820" i="38"/>
  <c r="I820" i="38" s="1"/>
  <c r="H821" i="38"/>
  <c r="I821" i="38" s="1"/>
  <c r="H822" i="38"/>
  <c r="I822" i="38" s="1"/>
  <c r="H823" i="38"/>
  <c r="I823" i="38" s="1"/>
  <c r="H874" i="38"/>
  <c r="H314" i="38"/>
  <c r="H315" i="38"/>
  <c r="I315" i="38" s="1"/>
  <c r="H316" i="38"/>
  <c r="I316" i="38" s="1"/>
  <c r="H317" i="38"/>
  <c r="I317" i="38" s="1"/>
  <c r="H318" i="38"/>
  <c r="I318" i="38" s="1"/>
  <c r="H319" i="38"/>
  <c r="I319" i="38" s="1"/>
  <c r="H320" i="38"/>
  <c r="I320" i="38" s="1"/>
  <c r="H236" i="38"/>
  <c r="H237" i="38"/>
  <c r="I237" i="38" s="1"/>
  <c r="H735" i="38"/>
  <c r="H736" i="38"/>
  <c r="I736" i="38" s="1"/>
  <c r="H737" i="38"/>
  <c r="I737" i="38" s="1"/>
  <c r="H738" i="38"/>
  <c r="I738" i="38" s="1"/>
  <c r="H739" i="38"/>
  <c r="I739" i="38" s="1"/>
  <c r="H740" i="38"/>
  <c r="I740" i="38" s="1"/>
  <c r="H741" i="38"/>
  <c r="I741" i="38" s="1"/>
  <c r="H742" i="38"/>
  <c r="I742" i="38" s="1"/>
  <c r="H400" i="38"/>
  <c r="H804" i="38"/>
  <c r="H805" i="38"/>
  <c r="I805" i="38" s="1"/>
  <c r="H806" i="38"/>
  <c r="I806" i="38" s="1"/>
  <c r="H807" i="38"/>
  <c r="I807" i="38" s="1"/>
  <c r="H153" i="38"/>
  <c r="I153" i="38" s="1"/>
  <c r="H154" i="38"/>
  <c r="I154" i="38" s="1"/>
  <c r="H155" i="38"/>
  <c r="I155" i="38" s="1"/>
  <c r="H156" i="38"/>
  <c r="I156" i="38" s="1"/>
  <c r="H157" i="38"/>
  <c r="I157" i="38" s="1"/>
  <c r="H436" i="38"/>
  <c r="H437" i="38"/>
  <c r="I437" i="38" s="1"/>
  <c r="H438" i="38"/>
  <c r="I438" i="38" s="1"/>
  <c r="H439" i="38"/>
  <c r="I439" i="38" s="1"/>
  <c r="H440" i="38"/>
  <c r="I440" i="38" s="1"/>
  <c r="H470" i="38"/>
  <c r="H11" i="38"/>
  <c r="H12" i="38"/>
  <c r="I12" i="38" s="1"/>
  <c r="H13" i="38"/>
  <c r="I13" i="38" s="1"/>
  <c r="H401" i="38"/>
  <c r="H158" i="38"/>
  <c r="H159" i="38"/>
  <c r="I159" i="38" s="1"/>
  <c r="H160" i="38"/>
  <c r="I160" i="38" s="1"/>
  <c r="H161" i="38"/>
  <c r="I161" i="38" s="1"/>
  <c r="H162" i="38"/>
  <c r="I162" i="38" s="1"/>
  <c r="H354" i="38"/>
  <c r="H402" i="38"/>
  <c r="H403" i="38"/>
  <c r="I403" i="38" s="1"/>
  <c r="H404" i="38"/>
  <c r="I404" i="38" s="1"/>
  <c r="H321" i="38"/>
  <c r="I321" i="38" s="1"/>
  <c r="H441" i="38"/>
  <c r="H442" i="38"/>
  <c r="I442" i="38" s="1"/>
  <c r="H443" i="38"/>
  <c r="I443" i="38" s="1"/>
  <c r="H444" i="38"/>
  <c r="I444" i="38" s="1"/>
  <c r="H445" i="38"/>
  <c r="I445" i="38" s="1"/>
  <c r="H344" i="38"/>
  <c r="H345" i="38"/>
  <c r="I345" i="38" s="1"/>
  <c r="H346" i="38"/>
  <c r="I346" i="38" s="1"/>
  <c r="H347" i="38"/>
  <c r="I347" i="38" s="1"/>
  <c r="H743" i="38"/>
  <c r="H744" i="38"/>
  <c r="I744" i="38" s="1"/>
  <c r="H81" i="38"/>
  <c r="I81" i="38" s="1"/>
  <c r="H405" i="38"/>
  <c r="H406" i="38"/>
  <c r="I406" i="38" s="1"/>
  <c r="H238" i="38"/>
  <c r="H239" i="38"/>
  <c r="I239" i="38" s="1"/>
  <c r="H240" i="38"/>
  <c r="I240" i="38" s="1"/>
  <c r="H241" i="38"/>
  <c r="I241" i="38" s="1"/>
  <c r="H242" i="38"/>
  <c r="I242" i="38" s="1"/>
  <c r="H243" i="38"/>
  <c r="I243" i="38" s="1"/>
  <c r="H244" i="38"/>
  <c r="I244" i="38" s="1"/>
  <c r="H245" i="38"/>
  <c r="I245" i="38" s="1"/>
  <c r="H246" i="38"/>
  <c r="I246" i="38" s="1"/>
  <c r="H247" i="38"/>
  <c r="I247" i="38" s="1"/>
  <c r="H248" i="38"/>
  <c r="I248" i="38" s="1"/>
  <c r="H249" i="38"/>
  <c r="I249" i="38" s="1"/>
  <c r="H536" i="38"/>
  <c r="H537" i="38"/>
  <c r="I537" i="38" s="1"/>
  <c r="H538" i="38"/>
  <c r="I538" i="38" s="1"/>
  <c r="H539" i="38"/>
  <c r="I539" i="38" s="1"/>
  <c r="H540" i="38"/>
  <c r="I540" i="38" s="1"/>
  <c r="H541" i="38"/>
  <c r="I541" i="38" s="1"/>
  <c r="H542" i="38"/>
  <c r="I542" i="38" s="1"/>
  <c r="H543" i="38"/>
  <c r="I543" i="38" s="1"/>
  <c r="H544" i="38"/>
  <c r="I544" i="38" s="1"/>
  <c r="H545" i="38"/>
  <c r="I545" i="38" s="1"/>
  <c r="H546" i="38"/>
  <c r="I546" i="38" s="1"/>
  <c r="H292" i="38"/>
  <c r="H293" i="38"/>
  <c r="I293" i="38" s="1"/>
  <c r="H82" i="38"/>
  <c r="H83" i="38"/>
  <c r="I83" i="38" s="1"/>
  <c r="H294" i="38"/>
  <c r="H295" i="38"/>
  <c r="I295" i="38" s="1"/>
  <c r="H602" i="38"/>
  <c r="H603" i="38"/>
  <c r="I603" i="38" s="1"/>
  <c r="H604" i="38"/>
  <c r="I604" i="38" s="1"/>
  <c r="H605" i="38"/>
  <c r="I605" i="38" s="1"/>
  <c r="H606" i="38"/>
  <c r="I606" i="38" s="1"/>
  <c r="H607" i="38"/>
  <c r="I607" i="38" s="1"/>
  <c r="H608" i="38"/>
  <c r="H609" i="38"/>
  <c r="H610" i="38"/>
  <c r="I610" i="38" s="1"/>
  <c r="H355" i="38"/>
  <c r="H356" i="38"/>
  <c r="I356" i="38" s="1"/>
  <c r="H611" i="38"/>
  <c r="H612" i="38"/>
  <c r="I612" i="38" s="1"/>
  <c r="H613" i="38"/>
  <c r="I613" i="38" s="1"/>
  <c r="H614" i="38"/>
  <c r="I614" i="38" s="1"/>
  <c r="H615" i="38"/>
  <c r="I615" i="38" s="1"/>
  <c r="H357" i="38"/>
  <c r="I357" i="38" s="1"/>
  <c r="H358" i="38"/>
  <c r="I358" i="38" s="1"/>
  <c r="H359" i="38"/>
  <c r="I359" i="38" s="1"/>
  <c r="H360" i="38"/>
  <c r="H875" i="38"/>
  <c r="I875" i="38" s="1"/>
  <c r="H876" i="38"/>
  <c r="I876" i="38" s="1"/>
  <c r="H877" i="38"/>
  <c r="I877" i="38" s="1"/>
  <c r="H878" i="38"/>
  <c r="I878" i="38" s="1"/>
  <c r="H879" i="38"/>
  <c r="I879" i="38" s="1"/>
  <c r="H824" i="38"/>
  <c r="H825" i="38"/>
  <c r="I825" i="38" s="1"/>
  <c r="H826" i="38"/>
  <c r="I826" i="38" s="1"/>
  <c r="H827" i="38"/>
  <c r="I827" i="38" s="1"/>
  <c r="H616" i="38"/>
  <c r="H617" i="38"/>
  <c r="I617" i="38" s="1"/>
  <c r="H618" i="38"/>
  <c r="I618" i="38" s="1"/>
  <c r="H619" i="38"/>
  <c r="I619" i="38" s="1"/>
  <c r="H620" i="38"/>
  <c r="I620" i="38" s="1"/>
  <c r="H621" i="38"/>
  <c r="I621" i="38" s="1"/>
  <c r="H622" i="38"/>
  <c r="I622" i="38" s="1"/>
  <c r="H623" i="38"/>
  <c r="I623" i="38" s="1"/>
  <c r="H624" i="38"/>
  <c r="I624" i="38" s="1"/>
  <c r="H625" i="38"/>
  <c r="I625" i="38" s="1"/>
  <c r="H626" i="38"/>
  <c r="I626" i="38" s="1"/>
  <c r="H627" i="38"/>
  <c r="I627" i="38" s="1"/>
  <c r="H628" i="38"/>
  <c r="I628" i="38" s="1"/>
  <c r="H629" i="38"/>
  <c r="H630" i="38"/>
  <c r="I630" i="38" s="1"/>
  <c r="H631" i="38"/>
  <c r="I631" i="38" s="1"/>
  <c r="H632" i="38"/>
  <c r="I632" i="38" s="1"/>
  <c r="H471" i="38"/>
  <c r="H745" i="38"/>
  <c r="H746" i="38"/>
  <c r="I746" i="38" s="1"/>
  <c r="H747" i="38"/>
  <c r="I747" i="38" s="1"/>
  <c r="H748" i="38"/>
  <c r="I748" i="38" s="1"/>
  <c r="H749" i="38"/>
  <c r="I749" i="38" s="1"/>
  <c r="H750" i="38"/>
  <c r="I750" i="38" s="1"/>
  <c r="H751" i="38"/>
  <c r="I751" i="38" s="1"/>
  <c r="H752" i="38"/>
  <c r="I752" i="38" s="1"/>
  <c r="H753" i="38"/>
  <c r="I753" i="38" s="1"/>
  <c r="H296" i="38"/>
  <c r="H297" i="38"/>
  <c r="I297" i="38" s="1"/>
  <c r="H298" i="38"/>
  <c r="I298" i="38" s="1"/>
  <c r="H754" i="38"/>
  <c r="H755" i="38"/>
  <c r="I755" i="38" s="1"/>
  <c r="H756" i="38"/>
  <c r="I756" i="38" s="1"/>
  <c r="H757" i="38"/>
  <c r="I757" i="38" s="1"/>
  <c r="H758" i="38"/>
  <c r="I758" i="38" s="1"/>
  <c r="H759" i="38"/>
  <c r="I759" i="38" s="1"/>
  <c r="H760" i="38"/>
  <c r="I760" i="38" s="1"/>
  <c r="H761" i="38"/>
  <c r="H762" i="38"/>
  <c r="I762" i="38" s="1"/>
  <c r="H763" i="38"/>
  <c r="I763" i="38" s="1"/>
  <c r="H299" i="38"/>
  <c r="H300" i="38"/>
  <c r="I300" i="38" s="1"/>
  <c r="H301" i="38"/>
  <c r="I301" i="38" s="1"/>
  <c r="H302" i="38"/>
  <c r="I302" i="38" s="1"/>
  <c r="H764" i="38"/>
  <c r="H765" i="38"/>
  <c r="I765" i="38" s="1"/>
  <c r="H766" i="38"/>
  <c r="I766" i="38" s="1"/>
  <c r="H767" i="38"/>
  <c r="I767" i="38" s="1"/>
  <c r="H768" i="38"/>
  <c r="I768" i="38" s="1"/>
  <c r="H769" i="38"/>
  <c r="I769" i="38" s="1"/>
  <c r="H770" i="38"/>
  <c r="I770" i="38" s="1"/>
  <c r="H771" i="38"/>
  <c r="I771" i="38" s="1"/>
  <c r="H772" i="38"/>
  <c r="I772" i="38" s="1"/>
  <c r="H773" i="38"/>
  <c r="I773" i="38" s="1"/>
  <c r="H774" i="38"/>
  <c r="I774" i="38" s="1"/>
  <c r="H775" i="38"/>
  <c r="I775" i="38" s="1"/>
  <c r="H776" i="38"/>
  <c r="I776" i="38" s="1"/>
  <c r="H828" i="38"/>
  <c r="H829" i="38"/>
  <c r="I829" i="38" s="1"/>
  <c r="H830" i="38"/>
  <c r="I830" i="38" s="1"/>
  <c r="H831" i="38"/>
  <c r="I831" i="38" s="1"/>
  <c r="H880" i="38"/>
  <c r="H881" i="38"/>
  <c r="I881" i="38" s="1"/>
  <c r="H882" i="38"/>
  <c r="I882" i="38" s="1"/>
  <c r="H883" i="38"/>
  <c r="I883" i="38" s="1"/>
  <c r="H884" i="38"/>
  <c r="I884" i="38" s="1"/>
  <c r="H885" i="38"/>
  <c r="I885" i="38" s="1"/>
  <c r="H886" i="38"/>
  <c r="I886" i="38" s="1"/>
  <c r="H887" i="38"/>
  <c r="I887" i="38" s="1"/>
  <c r="H14" i="38"/>
  <c r="H84" i="38"/>
  <c r="H85" i="38"/>
  <c r="I85" i="38" s="1"/>
  <c r="H86" i="38"/>
  <c r="I86" i="38" s="1"/>
  <c r="H87" i="38"/>
  <c r="H88" i="38"/>
  <c r="H89" i="38"/>
  <c r="I89" i="38" s="1"/>
  <c r="H90" i="38"/>
  <c r="I90" i="38" s="1"/>
  <c r="H91" i="38"/>
  <c r="I91" i="38" s="1"/>
  <c r="H92" i="38"/>
  <c r="I92" i="38" s="1"/>
  <c r="H250" i="38"/>
  <c r="H251" i="38"/>
  <c r="I251" i="38" s="1"/>
  <c r="H252" i="38"/>
  <c r="I252" i="38" s="1"/>
  <c r="H322" i="38"/>
  <c r="H323" i="38"/>
  <c r="I323" i="38" s="1"/>
  <c r="H324" i="38"/>
  <c r="I324" i="38" s="1"/>
  <c r="H253" i="38"/>
  <c r="H254" i="38"/>
  <c r="I254" i="38" s="1"/>
  <c r="H325" i="38"/>
  <c r="H326" i="38"/>
  <c r="I326" i="38" s="1"/>
  <c r="H303" i="38"/>
  <c r="H547" i="38"/>
  <c r="H548" i="38"/>
  <c r="I548" i="38" s="1"/>
  <c r="H549" i="38"/>
  <c r="I549" i="38" s="1"/>
  <c r="H550" i="38"/>
  <c r="I550" i="38" s="1"/>
  <c r="H551" i="38"/>
  <c r="I551" i="38" s="1"/>
  <c r="H361" i="38"/>
  <c r="I361" i="38" s="1"/>
  <c r="H362" i="38"/>
  <c r="I362" i="38" s="1"/>
  <c r="H363" i="38"/>
  <c r="H364" i="38"/>
  <c r="I364" i="38" s="1"/>
  <c r="H552" i="38"/>
  <c r="H553" i="38"/>
  <c r="I553" i="38" s="1"/>
  <c r="H554" i="38"/>
  <c r="I554" i="38" s="1"/>
  <c r="H555" i="38"/>
  <c r="I555" i="38" s="1"/>
  <c r="H556" i="38"/>
  <c r="I556" i="38" s="1"/>
  <c r="H557" i="38"/>
  <c r="I557" i="38" s="1"/>
  <c r="H558" i="38"/>
  <c r="I558" i="38" s="1"/>
  <c r="H472" i="38"/>
  <c r="H473" i="38"/>
  <c r="I473" i="38" s="1"/>
  <c r="H474" i="38"/>
  <c r="I474" i="38" s="1"/>
  <c r="H559" i="38"/>
  <c r="H560" i="38"/>
  <c r="H561" i="38"/>
  <c r="I561" i="38" s="1"/>
  <c r="H562" i="38"/>
  <c r="I562" i="38" s="1"/>
  <c r="H563" i="38"/>
  <c r="I563" i="38" s="1"/>
  <c r="H564" i="38"/>
  <c r="I564" i="38" s="1"/>
  <c r="H304" i="38"/>
  <c r="H305" i="38"/>
  <c r="I305" i="38" s="1"/>
  <c r="H633" i="38"/>
  <c r="H634" i="38"/>
  <c r="I634" i="38" s="1"/>
  <c r="H306" i="38"/>
  <c r="I306" i="38" s="1"/>
  <c r="H635" i="38"/>
  <c r="H636" i="38"/>
  <c r="I636" i="38" s="1"/>
  <c r="H637" i="38"/>
  <c r="H638" i="38"/>
  <c r="I638" i="38" s="1"/>
  <c r="H639" i="38"/>
  <c r="I639" i="38" s="1"/>
  <c r="H640" i="38"/>
  <c r="I640" i="38" s="1"/>
  <c r="H641" i="38"/>
  <c r="I641" i="38" s="1"/>
  <c r="H642" i="38"/>
  <c r="I642" i="38" s="1"/>
  <c r="H365" i="38"/>
  <c r="H366" i="38"/>
  <c r="I366" i="38" s="1"/>
  <c r="H643" i="38"/>
  <c r="H644" i="38"/>
  <c r="I644" i="38" s="1"/>
  <c r="H645" i="38"/>
  <c r="I645" i="38" s="1"/>
  <c r="H646" i="38"/>
  <c r="I646" i="38" s="1"/>
  <c r="H647" i="38"/>
  <c r="I647" i="38" s="1"/>
  <c r="H648" i="38"/>
  <c r="I648" i="38" s="1"/>
  <c r="H649" i="38"/>
  <c r="I649" i="38" s="1"/>
  <c r="H650" i="38"/>
  <c r="I650" i="38" s="1"/>
  <c r="H475" i="38"/>
  <c r="H367" i="38"/>
  <c r="H777" i="38"/>
  <c r="H778" i="38"/>
  <c r="I778" i="38" s="1"/>
  <c r="H779" i="38"/>
  <c r="I779" i="38" s="1"/>
  <c r="H780" i="38"/>
  <c r="I780" i="38" s="1"/>
  <c r="H781" i="38"/>
  <c r="I781" i="38" s="1"/>
  <c r="H782" i="38"/>
  <c r="I782" i="38" s="1"/>
  <c r="H783" i="38"/>
  <c r="I783" i="38" s="1"/>
  <c r="H784" i="38"/>
  <c r="I784" i="38" s="1"/>
  <c r="H785" i="38"/>
  <c r="I785" i="38" s="1"/>
  <c r="H786" i="38"/>
  <c r="I786" i="38" s="1"/>
  <c r="H808" i="38"/>
  <c r="H888" i="38"/>
  <c r="H889" i="38"/>
  <c r="I889" i="38" s="1"/>
  <c r="H890" i="38"/>
  <c r="I890" i="38" s="1"/>
  <c r="H891" i="38"/>
  <c r="I891" i="38" s="1"/>
  <c r="H892" i="38"/>
  <c r="I892" i="38" s="1"/>
  <c r="H893" i="38"/>
  <c r="I893" i="38" s="1"/>
  <c r="H894" i="38"/>
  <c r="H895" i="38"/>
  <c r="H896" i="38"/>
  <c r="I896" i="38" s="1"/>
  <c r="H897" i="38"/>
  <c r="I897" i="38" s="1"/>
  <c r="H898" i="38"/>
  <c r="I898" i="38" s="1"/>
  <c r="H832" i="38"/>
  <c r="H833" i="38"/>
  <c r="I833" i="38" s="1"/>
  <c r="H834" i="38"/>
  <c r="I834" i="38" s="1"/>
  <c r="H835" i="38"/>
  <c r="I835" i="38" s="1"/>
  <c r="H899" i="38"/>
  <c r="H900" i="38"/>
  <c r="I900" i="38" s="1"/>
  <c r="H901" i="38"/>
  <c r="I901" i="38" s="1"/>
  <c r="H407" i="38"/>
  <c r="H408" i="38"/>
  <c r="I408" i="38" s="1"/>
  <c r="H409" i="38"/>
  <c r="I409" i="38" s="1"/>
  <c r="H410" i="38"/>
  <c r="I410" i="38" s="1"/>
  <c r="H163" i="38"/>
  <c r="H164" i="38"/>
  <c r="I164" i="38" s="1"/>
  <c r="H165" i="38"/>
  <c r="I165" i="38" s="1"/>
  <c r="H166" i="38"/>
  <c r="I166" i="38" s="1"/>
  <c r="H167" i="38"/>
  <c r="I167" i="38" s="1"/>
  <c r="H168" i="38"/>
  <c r="I168" i="38" s="1"/>
  <c r="H169" i="38"/>
  <c r="I169" i="38" s="1"/>
  <c r="H170" i="38"/>
  <c r="I170" i="38" s="1"/>
  <c r="H171" i="38"/>
  <c r="H172" i="38"/>
  <c r="I172" i="38" s="1"/>
  <c r="H173" i="38"/>
  <c r="I173" i="38" s="1"/>
  <c r="H174" i="38"/>
  <c r="I174" i="38" s="1"/>
  <c r="H175" i="38"/>
  <c r="I175" i="38" s="1"/>
  <c r="H176" i="38"/>
  <c r="I176" i="38" s="1"/>
  <c r="H177" i="38"/>
  <c r="I177" i="38" s="1"/>
  <c r="H178" i="38"/>
  <c r="I178" i="38" s="1"/>
  <c r="H179" i="38"/>
  <c r="I179" i="38" s="1"/>
  <c r="H180" i="38"/>
  <c r="I180" i="38" s="1"/>
  <c r="H181" i="38"/>
  <c r="I181" i="38" s="1"/>
  <c r="H15" i="38"/>
  <c r="H16" i="38"/>
  <c r="I16" i="38" s="1"/>
  <c r="H17" i="38"/>
  <c r="I17" i="38" s="1"/>
  <c r="H255" i="38"/>
  <c r="H256" i="38"/>
  <c r="I256" i="38" s="1"/>
  <c r="H257" i="38"/>
  <c r="I257" i="38" s="1"/>
  <c r="H327" i="38"/>
  <c r="H328" i="38"/>
  <c r="I328" i="38" s="1"/>
  <c r="H329" i="38"/>
  <c r="I329" i="38" s="1"/>
  <c r="H330" i="38"/>
  <c r="I330" i="38" s="1"/>
  <c r="H331" i="38"/>
  <c r="I331" i="38" s="1"/>
  <c r="H332" i="38"/>
  <c r="I332" i="38" s="1"/>
  <c r="H333" i="38"/>
  <c r="I333" i="38" s="1"/>
  <c r="H18" i="38"/>
  <c r="H19" i="38"/>
  <c r="I19" i="38" s="1"/>
  <c r="H20" i="38"/>
  <c r="I20" i="38" s="1"/>
  <c r="H21" i="38"/>
  <c r="I21" i="38" s="1"/>
  <c r="H446" i="38"/>
  <c r="H447" i="38"/>
  <c r="I447" i="38" s="1"/>
  <c r="H476" i="38"/>
  <c r="H477" i="38"/>
  <c r="I477" i="38" s="1"/>
  <c r="H478" i="38"/>
  <c r="I478" i="38" s="1"/>
  <c r="H479" i="38"/>
  <c r="I479" i="38" s="1"/>
  <c r="H307" i="38"/>
  <c r="I307" i="38" s="1"/>
  <c r="H308" i="38"/>
  <c r="I308" i="38" s="1"/>
  <c r="H309" i="38"/>
  <c r="I309" i="38" s="1"/>
  <c r="H787" i="38"/>
  <c r="H788" i="38"/>
  <c r="I788" i="38" s="1"/>
  <c r="H789" i="38"/>
  <c r="I789" i="38" s="1"/>
  <c r="H790" i="38"/>
  <c r="I790" i="38" s="1"/>
  <c r="H791" i="38"/>
  <c r="I791" i="38" s="1"/>
  <c r="H792" i="38"/>
  <c r="I792" i="38" s="1"/>
  <c r="H793" i="38"/>
  <c r="I793" i="38" s="1"/>
  <c r="H794" i="38"/>
  <c r="I794" i="38" s="1"/>
  <c r="H795" i="38"/>
  <c r="I795" i="38" s="1"/>
  <c r="H796" i="38"/>
  <c r="I796" i="38" s="1"/>
  <c r="H797" i="38"/>
  <c r="I797" i="38" s="1"/>
  <c r="H310" i="38"/>
  <c r="H411" i="38"/>
  <c r="H902" i="38"/>
  <c r="H903" i="38"/>
  <c r="I903" i="38" s="1"/>
  <c r="H904" i="38"/>
  <c r="I904" i="38" s="1"/>
  <c r="H905" i="38"/>
  <c r="I905" i="38" s="1"/>
  <c r="H906" i="38"/>
  <c r="I906" i="38" s="1"/>
  <c r="H907" i="38"/>
  <c r="I907" i="38" s="1"/>
  <c r="H908" i="38"/>
  <c r="I908" i="38" s="1"/>
  <c r="H909" i="38"/>
  <c r="I909" i="38" s="1"/>
  <c r="H910" i="38"/>
  <c r="I910" i="38" s="1"/>
  <c r="H836" i="38"/>
  <c r="H837" i="38"/>
  <c r="H838" i="38"/>
  <c r="I838" i="38" s="1"/>
  <c r="H911" i="38"/>
  <c r="H912" i="38"/>
  <c r="I912" i="38" s="1"/>
  <c r="H913" i="38"/>
  <c r="I913" i="38" s="1"/>
  <c r="H93" i="38"/>
  <c r="H94" i="38"/>
  <c r="I94" i="38" s="1"/>
  <c r="H95" i="38"/>
  <c r="I95" i="38" s="1"/>
  <c r="H96" i="38"/>
  <c r="I96" i="38" s="1"/>
  <c r="H97" i="38"/>
  <c r="I97" i="38" s="1"/>
  <c r="H98" i="38"/>
  <c r="I98" i="38" s="1"/>
  <c r="H99" i="38"/>
  <c r="I99" i="38" s="1"/>
  <c r="H100" i="38"/>
  <c r="I100" i="38" s="1"/>
  <c r="H101" i="38"/>
  <c r="I101" i="38" s="1"/>
  <c r="H102" i="38"/>
  <c r="I102" i="38" s="1"/>
  <c r="H22" i="38"/>
  <c r="H23" i="38"/>
  <c r="I23" i="38" s="1"/>
  <c r="H182" i="38"/>
  <c r="H183" i="38"/>
  <c r="I183" i="38" s="1"/>
  <c r="H184" i="38"/>
  <c r="I184" i="38" s="1"/>
  <c r="H185" i="38"/>
  <c r="I185" i="38" s="1"/>
  <c r="H186" i="38"/>
  <c r="I186" i="38" s="1"/>
  <c r="H187" i="38"/>
  <c r="I187" i="38" s="1"/>
  <c r="H188" i="38"/>
  <c r="I188" i="38" s="1"/>
  <c r="H258" i="38"/>
  <c r="H259" i="38"/>
  <c r="H334" i="38"/>
  <c r="H335" i="38"/>
  <c r="I335" i="38" s="1"/>
  <c r="H336" i="38"/>
  <c r="I336" i="38" s="1"/>
  <c r="H337" i="38"/>
  <c r="I337" i="38" s="1"/>
  <c r="H338" i="38"/>
  <c r="I338" i="38" s="1"/>
  <c r="H339" i="38"/>
  <c r="I339" i="38" s="1"/>
  <c r="H24" i="38"/>
  <c r="H25" i="38"/>
  <c r="I25" i="38" s="1"/>
  <c r="H26" i="38"/>
  <c r="I26" i="38" s="1"/>
  <c r="H27" i="38"/>
  <c r="I27" i="38" s="1"/>
  <c r="H28" i="38"/>
  <c r="H448" i="38"/>
  <c r="H368" i="38"/>
  <c r="H369" i="38"/>
  <c r="I369" i="38" s="1"/>
  <c r="H370" i="38"/>
  <c r="I370" i="38" s="1"/>
  <c r="H371" i="38"/>
  <c r="I371" i="38" s="1"/>
  <c r="H651" i="38"/>
  <c r="H372" i="38"/>
  <c r="H373" i="38"/>
  <c r="I373" i="38" s="1"/>
  <c r="H374" i="38"/>
  <c r="I374" i="38" s="1"/>
  <c r="H375" i="38"/>
  <c r="I375" i="38" s="1"/>
  <c r="H652" i="38"/>
  <c r="H653" i="38"/>
  <c r="I653" i="38" s="1"/>
  <c r="H654" i="38"/>
  <c r="I654" i="38" s="1"/>
  <c r="H103" i="38"/>
  <c r="H104" i="38"/>
  <c r="I104" i="38" s="1"/>
  <c r="H105" i="38"/>
  <c r="I105" i="38" s="1"/>
  <c r="H106" i="38"/>
  <c r="I106" i="38" s="1"/>
  <c r="H107" i="38"/>
  <c r="I107" i="38" s="1"/>
  <c r="H108" i="38"/>
  <c r="I108" i="38" s="1"/>
  <c r="H109" i="38"/>
  <c r="I109" i="38" s="1"/>
  <c r="H189" i="38"/>
  <c r="H449" i="38"/>
  <c r="I449" i="38" s="1"/>
  <c r="H450" i="38"/>
  <c r="I450" i="38" s="1"/>
  <c r="H451" i="38"/>
  <c r="I451" i="38" s="1"/>
  <c r="H452" i="38"/>
  <c r="I452" i="38" s="1"/>
  <c r="H453" i="38"/>
  <c r="I453" i="38" s="1"/>
  <c r="H454" i="38"/>
  <c r="I454" i="38" s="1"/>
  <c r="H260" i="38"/>
  <c r="H261" i="38"/>
  <c r="I261" i="38" s="1"/>
  <c r="H262" i="38"/>
  <c r="I262" i="38" s="1"/>
  <c r="H263" i="38"/>
  <c r="I263" i="38" s="1"/>
  <c r="H264" i="38"/>
  <c r="I264" i="38" s="1"/>
  <c r="H265" i="38"/>
  <c r="I265" i="38" s="1"/>
  <c r="H266" i="38"/>
  <c r="I266" i="38" s="1"/>
  <c r="H267" i="38"/>
  <c r="I267" i="38" s="1"/>
  <c r="H565" i="38"/>
  <c r="H566" i="38"/>
  <c r="I566" i="38" s="1"/>
  <c r="H567" i="38"/>
  <c r="I567" i="38" s="1"/>
  <c r="H568" i="38"/>
  <c r="I568" i="38" s="1"/>
  <c r="H655" i="38"/>
  <c r="H376" i="38"/>
  <c r="H377" i="38"/>
  <c r="I377" i="38" s="1"/>
  <c r="H378" i="38"/>
  <c r="I378" i="38" s="1"/>
  <c r="H379" i="38"/>
  <c r="I379" i="38" s="1"/>
  <c r="H798" i="38"/>
  <c r="I111" i="38"/>
  <c r="I122" i="38"/>
  <c r="I195" i="38"/>
  <c r="I481" i="38"/>
  <c r="I660" i="38"/>
  <c r="I661" i="38"/>
  <c r="I272" i="38"/>
  <c r="I667" i="38"/>
  <c r="I669" i="38"/>
  <c r="I675" i="38"/>
  <c r="I683" i="38"/>
  <c r="I691" i="38"/>
  <c r="I40" i="38"/>
  <c r="I41" i="38"/>
  <c r="I48" i="38"/>
  <c r="I5" i="38"/>
  <c r="I6" i="38"/>
  <c r="I222" i="38"/>
  <c r="I233" i="38"/>
  <c r="I287" i="38"/>
  <c r="I527" i="38"/>
  <c r="I435" i="38"/>
  <c r="I595" i="38"/>
  <c r="I596" i="38"/>
  <c r="I469" i="38"/>
  <c r="I69" i="38"/>
  <c r="I710" i="38"/>
  <c r="I74" i="38"/>
  <c r="I866" i="38"/>
  <c r="I608" i="38"/>
  <c r="I609" i="38"/>
  <c r="I360" i="38"/>
  <c r="I629" i="38"/>
  <c r="I761" i="38"/>
  <c r="I87" i="38"/>
  <c r="I88" i="38"/>
  <c r="I363" i="38"/>
  <c r="I560" i="38"/>
  <c r="I637" i="38"/>
  <c r="I894" i="38"/>
  <c r="I895" i="38"/>
  <c r="I171" i="38"/>
  <c r="I837" i="38"/>
  <c r="I259" i="38"/>
  <c r="I28" i="38"/>
  <c r="A6" i="37"/>
  <c r="A7" i="37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" i="37"/>
  <c r="I559" i="38" l="1"/>
  <c r="I29" i="38"/>
  <c r="I839" i="38"/>
  <c r="I110" i="38"/>
  <c r="I14" i="38"/>
  <c r="I189" i="38"/>
  <c r="I899" i="38"/>
  <c r="I322" i="38"/>
  <c r="I84" i="38"/>
  <c r="I11" i="38"/>
  <c r="I494" i="38"/>
  <c r="I507" i="38"/>
  <c r="I529" i="38"/>
  <c r="I182" i="38"/>
  <c r="I334" i="38"/>
  <c r="I874" i="38"/>
  <c r="I103" i="38"/>
  <c r="I325" i="38"/>
  <c r="I93" i="38"/>
  <c r="I547" i="38"/>
  <c r="I398" i="38"/>
  <c r="I569" i="38"/>
  <c r="I808" i="38"/>
  <c r="I745" i="38"/>
  <c r="I289" i="38"/>
  <c r="I376" i="38"/>
  <c r="I832" i="38"/>
  <c r="I754" i="38"/>
  <c r="I400" i="38"/>
  <c r="I365" i="38"/>
  <c r="I368" i="38"/>
  <c r="I723" i="38"/>
  <c r="I864" i="38"/>
  <c r="I71" i="38"/>
  <c r="I902" i="38"/>
  <c r="I602" i="38"/>
  <c r="I743" i="38"/>
  <c r="I804" i="38"/>
  <c r="I385" i="38"/>
  <c r="I798" i="38"/>
  <c r="I643" i="38"/>
  <c r="I472" i="38"/>
  <c r="I735" i="38"/>
  <c r="I524" i="38"/>
  <c r="I37" i="38"/>
  <c r="I841" i="38"/>
  <c r="I372" i="38"/>
  <c r="I258" i="38"/>
  <c r="I828" i="38"/>
  <c r="I158" i="38"/>
  <c r="I819" i="38"/>
  <c r="I143" i="38"/>
  <c r="I799" i="38"/>
  <c r="I460" i="38"/>
  <c r="I137" i="38"/>
  <c r="I489" i="38"/>
  <c r="I842" i="38"/>
  <c r="I423" i="38"/>
  <c r="I656" i="38"/>
  <c r="I201" i="38"/>
  <c r="I15" i="38"/>
  <c r="I292" i="38"/>
  <c r="I59" i="38"/>
  <c r="I591" i="38"/>
  <c r="I285" i="38"/>
  <c r="I350" i="38"/>
  <c r="I393" i="38"/>
  <c r="I836" i="38"/>
  <c r="I703" i="38"/>
  <c r="I268" i="38"/>
  <c r="I848" i="38"/>
  <c r="I662" i="38"/>
  <c r="I777" i="38"/>
  <c r="I574" i="38"/>
  <c r="I270" i="38"/>
  <c r="I260" i="38"/>
  <c r="I163" i="38"/>
  <c r="I344" i="38"/>
  <c r="I340" i="38"/>
  <c r="I455" i="38"/>
  <c r="I136" i="38"/>
  <c r="I843" i="38"/>
  <c r="I488" i="38"/>
  <c r="I911" i="38"/>
  <c r="I255" i="38"/>
  <c r="I296" i="38"/>
  <c r="I82" i="38"/>
  <c r="I495" i="38"/>
  <c r="I34" i="38"/>
  <c r="I487" i="38"/>
  <c r="I448" i="38"/>
  <c r="I475" i="38"/>
  <c r="I576" i="38"/>
  <c r="I694" i="38"/>
  <c r="I668" i="38"/>
  <c r="I115" i="38"/>
  <c r="I412" i="38"/>
  <c r="I505" i="38"/>
  <c r="I314" i="38"/>
  <c r="I633" i="38"/>
  <c r="I407" i="38"/>
  <c r="I565" i="38"/>
  <c r="I436" i="38"/>
  <c r="I616" i="38"/>
  <c r="I250" i="38"/>
  <c r="I652" i="38"/>
  <c r="I600" i="38"/>
  <c r="I869" i="38"/>
  <c r="I354" i="38"/>
  <c r="I476" i="38"/>
  <c r="I271" i="38"/>
  <c r="I43" i="38"/>
  <c r="I284" i="38"/>
  <c r="I216" i="38"/>
  <c r="I299" i="38"/>
  <c r="I22" i="38"/>
  <c r="I651" i="38"/>
  <c r="I278" i="38"/>
  <c r="I3" i="38"/>
  <c r="I464" i="38"/>
  <c r="I702" i="38"/>
  <c r="I8" i="38"/>
  <c r="I401" i="38"/>
  <c r="I840" i="38"/>
  <c r="I281" i="38"/>
  <c r="I421" i="38"/>
  <c r="I815" i="38"/>
  <c r="I809" i="38"/>
  <c r="I446" i="38"/>
  <c r="I471" i="38"/>
  <c r="I294" i="38"/>
  <c r="I418" i="38"/>
  <c r="I18" i="38"/>
  <c r="I236" i="38"/>
  <c r="I863" i="38"/>
  <c r="I570" i="38"/>
  <c r="I24" i="38"/>
  <c r="I304" i="38"/>
  <c r="I141" i="38"/>
  <c r="I700" i="38"/>
  <c r="I695" i="38"/>
  <c r="I571" i="38"/>
  <c r="I552" i="38"/>
  <c r="I824" i="38"/>
  <c r="I480" i="38"/>
  <c r="I190" i="38"/>
  <c r="I411" i="38"/>
  <c r="I536" i="38"/>
  <c r="I416" i="38"/>
  <c r="I470" i="38"/>
  <c r="I396" i="38"/>
  <c r="I327" i="38"/>
  <c r="I611" i="38"/>
  <c r="I466" i="38"/>
  <c r="I380" i="38"/>
  <c r="I348" i="38"/>
  <c r="I764" i="38"/>
  <c r="I274" i="38"/>
  <c r="I663" i="38"/>
  <c r="I313" i="38"/>
  <c r="I310" i="38"/>
  <c r="I253" i="38"/>
  <c r="I456" i="38"/>
  <c r="I311" i="38"/>
  <c r="I635" i="38"/>
  <c r="I655" i="38"/>
  <c r="I303" i="38"/>
  <c r="I787" i="38"/>
  <c r="I405" i="38"/>
  <c r="I880" i="38"/>
  <c r="I402" i="38"/>
  <c r="I431" i="38"/>
  <c r="I4" i="38"/>
  <c r="I30" i="38"/>
  <c r="I441" i="38"/>
  <c r="I586" i="38"/>
  <c r="I513" i="38"/>
  <c r="I457" i="38"/>
  <c r="I389" i="38"/>
  <c r="I486" i="38"/>
  <c r="I367" i="38"/>
  <c r="I238" i="38"/>
  <c r="I888" i="38"/>
  <c r="I355" i="38"/>
  <c r="I44" i="38"/>
  <c r="I35" i="38"/>
  <c r="I135" i="38"/>
  <c r="I678" i="38"/>
  <c r="I349" i="38"/>
  <c r="I128" i="38"/>
  <c r="C4" i="37" l="1"/>
  <c r="C1" i="38"/>
  <c r="B60" i="29" l="1"/>
  <c r="B61" i="29" s="1"/>
  <c r="I26" i="37"/>
  <c r="L26" i="37" s="1"/>
  <c r="M26" i="37" s="1"/>
  <c r="I27" i="37"/>
  <c r="L27" i="37" s="1"/>
  <c r="M27" i="37" s="1"/>
  <c r="I28" i="37"/>
  <c r="O28" i="37" s="1"/>
  <c r="P28" i="37" s="1"/>
  <c r="Q28" i="37" s="1"/>
  <c r="I29" i="37"/>
  <c r="I30" i="37"/>
  <c r="O30" i="37" s="1"/>
  <c r="P30" i="37" s="1"/>
  <c r="Q30" i="37" s="1"/>
  <c r="I31" i="37"/>
  <c r="L31" i="37" s="1"/>
  <c r="M31" i="37" s="1"/>
  <c r="I32" i="37"/>
  <c r="O32" i="37" s="1"/>
  <c r="P32" i="37" s="1"/>
  <c r="Q32" i="37" s="1"/>
  <c r="I33" i="37"/>
  <c r="L33" i="37" s="1"/>
  <c r="M33" i="37" s="1"/>
  <c r="I34" i="37"/>
  <c r="L34" i="37" s="1"/>
  <c r="M34" i="37" s="1"/>
  <c r="I35" i="37"/>
  <c r="L35" i="37" s="1"/>
  <c r="M35" i="37" s="1"/>
  <c r="I36" i="37"/>
  <c r="L36" i="37" s="1"/>
  <c r="M36" i="37" s="1"/>
  <c r="I37" i="37"/>
  <c r="O37" i="37" s="1"/>
  <c r="P37" i="37" s="1"/>
  <c r="Q37" i="37" s="1"/>
  <c r="I38" i="37"/>
  <c r="L38" i="37" s="1"/>
  <c r="M38" i="37" s="1"/>
  <c r="I39" i="37"/>
  <c r="O39" i="37" s="1"/>
  <c r="P39" i="37" s="1"/>
  <c r="Q39" i="37" s="1"/>
  <c r="I40" i="37"/>
  <c r="O40" i="37" s="1"/>
  <c r="P40" i="37" s="1"/>
  <c r="Q40" i="37" s="1"/>
  <c r="I41" i="37"/>
  <c r="O41" i="37" s="1"/>
  <c r="P41" i="37" s="1"/>
  <c r="Q41" i="37" s="1"/>
  <c r="I42" i="37"/>
  <c r="O42" i="37" s="1"/>
  <c r="P42" i="37" s="1"/>
  <c r="Q42" i="37" s="1"/>
  <c r="I43" i="37"/>
  <c r="O43" i="37" s="1"/>
  <c r="P43" i="37" s="1"/>
  <c r="Q43" i="37" s="1"/>
  <c r="I44" i="37"/>
  <c r="O44" i="37" s="1"/>
  <c r="P44" i="37" s="1"/>
  <c r="Q44" i="37" s="1"/>
  <c r="I45" i="37"/>
  <c r="L45" i="37" s="1"/>
  <c r="M45" i="37" s="1"/>
  <c r="I46" i="37"/>
  <c r="L46" i="37" s="1"/>
  <c r="M46" i="37" s="1"/>
  <c r="I47" i="37"/>
  <c r="O47" i="37" s="1"/>
  <c r="P47" i="37" s="1"/>
  <c r="Q47" i="37" s="1"/>
  <c r="I48" i="37"/>
  <c r="L48" i="37" s="1"/>
  <c r="M48" i="37" s="1"/>
  <c r="I49" i="37"/>
  <c r="L49" i="37" s="1"/>
  <c r="M49" i="37" s="1"/>
  <c r="I50" i="37"/>
  <c r="I51" i="37"/>
  <c r="L51" i="37" s="1"/>
  <c r="M51" i="37" s="1"/>
  <c r="I5" i="37"/>
  <c r="I6" i="37"/>
  <c r="O6" i="37" s="1"/>
  <c r="P6" i="37" s="1"/>
  <c r="Q6" i="37" s="1"/>
  <c r="I7" i="37"/>
  <c r="I8" i="37"/>
  <c r="L8" i="37" s="1"/>
  <c r="M8" i="37" s="1"/>
  <c r="I9" i="37"/>
  <c r="I10" i="37"/>
  <c r="L10" i="37" s="1"/>
  <c r="M10" i="37" s="1"/>
  <c r="I11" i="37"/>
  <c r="O11" i="37" s="1"/>
  <c r="P11" i="37" s="1"/>
  <c r="Q11" i="37" s="1"/>
  <c r="I12" i="37"/>
  <c r="L12" i="37" s="1"/>
  <c r="M12" i="37" s="1"/>
  <c r="I13" i="37"/>
  <c r="L13" i="37" s="1"/>
  <c r="M13" i="37" s="1"/>
  <c r="I14" i="37"/>
  <c r="I15" i="37"/>
  <c r="O15" i="37" s="1"/>
  <c r="P15" i="37" s="1"/>
  <c r="Q15" i="37" s="1"/>
  <c r="I16" i="37"/>
  <c r="L16" i="37" s="1"/>
  <c r="M16" i="37" s="1"/>
  <c r="I17" i="37"/>
  <c r="L17" i="37" s="1"/>
  <c r="M17" i="37" s="1"/>
  <c r="I18" i="37"/>
  <c r="I19" i="37"/>
  <c r="I20" i="37"/>
  <c r="L20" i="37" s="1"/>
  <c r="M20" i="37" s="1"/>
  <c r="I21" i="37"/>
  <c r="L21" i="37" s="1"/>
  <c r="M21" i="37" s="1"/>
  <c r="I22" i="37"/>
  <c r="L22" i="37" s="1"/>
  <c r="M22" i="37" s="1"/>
  <c r="I23" i="37"/>
  <c r="L23" i="37" s="1"/>
  <c r="M23" i="37" s="1"/>
  <c r="I24" i="37"/>
  <c r="O24" i="37" s="1"/>
  <c r="P24" i="37" s="1"/>
  <c r="Q24" i="37" s="1"/>
  <c r="I25" i="37"/>
  <c r="L25" i="37" s="1"/>
  <c r="M25" i="37" s="1"/>
  <c r="I4" i="37"/>
  <c r="L7" i="37"/>
  <c r="M7" i="37" s="1"/>
  <c r="O8" i="37"/>
  <c r="P8" i="37" s="1"/>
  <c r="Q8" i="37" s="1"/>
  <c r="L14" i="37"/>
  <c r="M14" i="37" s="1"/>
  <c r="O14" i="37"/>
  <c r="P14" i="37" s="1"/>
  <c r="Q14" i="37" s="1"/>
  <c r="O18" i="37"/>
  <c r="P18" i="37" s="1"/>
  <c r="Q18" i="37" s="1"/>
  <c r="L19" i="37"/>
  <c r="M19" i="37" s="1"/>
  <c r="E61" i="29"/>
  <c r="F61" i="29"/>
  <c r="B59" i="29"/>
  <c r="B58" i="29"/>
  <c r="B55" i="29"/>
  <c r="B53" i="29"/>
  <c r="B57" i="29"/>
  <c r="G8" i="37"/>
  <c r="B56" i="29"/>
  <c r="O5" i="37"/>
  <c r="P5" i="37" s="1"/>
  <c r="Q5" i="37" s="1"/>
  <c r="L5" i="37"/>
  <c r="M5" i="37" s="1"/>
  <c r="G5" i="37"/>
  <c r="G4" i="37"/>
  <c r="L4" i="37"/>
  <c r="M4" i="37"/>
  <c r="O4" i="37"/>
  <c r="P4" i="37"/>
  <c r="Q4" i="37" s="1"/>
  <c r="G6" i="37"/>
  <c r="L6" i="37"/>
  <c r="M6" i="37" s="1"/>
  <c r="G7" i="37"/>
  <c r="G9" i="37"/>
  <c r="L9" i="37"/>
  <c r="M9" i="37" s="1"/>
  <c r="O9" i="37"/>
  <c r="P9" i="37" s="1"/>
  <c r="Q9" i="37" s="1"/>
  <c r="G10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26" i="37"/>
  <c r="G27" i="37"/>
  <c r="G28" i="37"/>
  <c r="G29" i="37"/>
  <c r="L29" i="37"/>
  <c r="M29" i="37" s="1"/>
  <c r="O29" i="37"/>
  <c r="P29" i="37" s="1"/>
  <c r="Q29" i="37" s="1"/>
  <c r="G30" i="37"/>
  <c r="G31" i="37"/>
  <c r="G32" i="37"/>
  <c r="G33" i="37"/>
  <c r="G34" i="37"/>
  <c r="G35" i="37"/>
  <c r="G36" i="37"/>
  <c r="G37" i="37"/>
  <c r="L37" i="37"/>
  <c r="M37" i="37"/>
  <c r="G38" i="37"/>
  <c r="O38" i="37"/>
  <c r="P38" i="37" s="1"/>
  <c r="Q38" i="37" s="1"/>
  <c r="G39" i="37"/>
  <c r="L39" i="37"/>
  <c r="M39" i="37" s="1"/>
  <c r="G40" i="37"/>
  <c r="G41" i="37"/>
  <c r="G42" i="37"/>
  <c r="L42" i="37"/>
  <c r="M42" i="37" s="1"/>
  <c r="G43" i="37"/>
  <c r="L43" i="37"/>
  <c r="M43" i="37" s="1"/>
  <c r="G44" i="37"/>
  <c r="G45" i="37"/>
  <c r="G46" i="37"/>
  <c r="G47" i="37"/>
  <c r="L47" i="37"/>
  <c r="M47" i="37"/>
  <c r="G48" i="37"/>
  <c r="G49" i="37"/>
  <c r="G50" i="37"/>
  <c r="L50" i="37"/>
  <c r="M50" i="37"/>
  <c r="O50" i="37"/>
  <c r="P50" i="37"/>
  <c r="Q50" i="37" s="1"/>
  <c r="G51" i="37"/>
  <c r="O51" i="37"/>
  <c r="P51" i="37" s="1"/>
  <c r="Q51" i="37" s="1"/>
  <c r="R52" i="37"/>
  <c r="O34" i="37" l="1"/>
  <c r="P34" i="37" s="1"/>
  <c r="Q34" i="37" s="1"/>
  <c r="O46" i="37"/>
  <c r="P46" i="37" s="1"/>
  <c r="Q46" i="37" s="1"/>
  <c r="L40" i="37"/>
  <c r="M40" i="37" s="1"/>
  <c r="O48" i="37"/>
  <c r="P48" i="37" s="1"/>
  <c r="Q48" i="37" s="1"/>
  <c r="O36" i="37"/>
  <c r="P36" i="37" s="1"/>
  <c r="Q36" i="37" s="1"/>
  <c r="O26" i="37"/>
  <c r="P26" i="37" s="1"/>
  <c r="Q26" i="37" s="1"/>
  <c r="L32" i="37"/>
  <c r="M32" i="37" s="1"/>
  <c r="O35" i="37"/>
  <c r="P35" i="37" s="1"/>
  <c r="Q35" i="37" s="1"/>
  <c r="O31" i="37"/>
  <c r="P31" i="37" s="1"/>
  <c r="Q31" i="37" s="1"/>
  <c r="L44" i="37"/>
  <c r="M44" i="37" s="1"/>
  <c r="L41" i="37"/>
  <c r="M41" i="37" s="1"/>
  <c r="L30" i="37"/>
  <c r="M30" i="37" s="1"/>
  <c r="O27" i="37"/>
  <c r="P27" i="37" s="1"/>
  <c r="Q27" i="37" s="1"/>
  <c r="O45" i="37"/>
  <c r="P45" i="37" s="1"/>
  <c r="Q45" i="37" s="1"/>
  <c r="L28" i="37"/>
  <c r="M28" i="37" s="1"/>
  <c r="O49" i="37"/>
  <c r="P49" i="37" s="1"/>
  <c r="Q49" i="37" s="1"/>
  <c r="O33" i="37"/>
  <c r="P33" i="37" s="1"/>
  <c r="Q33" i="37" s="1"/>
  <c r="O23" i="37"/>
  <c r="P23" i="37" s="1"/>
  <c r="Q23" i="37" s="1"/>
  <c r="O25" i="37"/>
  <c r="P25" i="37" s="1"/>
  <c r="Q25" i="37" s="1"/>
  <c r="L11" i="37"/>
  <c r="M11" i="37" s="1"/>
  <c r="O22" i="37"/>
  <c r="P22" i="37" s="1"/>
  <c r="Q22" i="37" s="1"/>
  <c r="O7" i="37"/>
  <c r="P7" i="37" s="1"/>
  <c r="Q7" i="37" s="1"/>
  <c r="O17" i="37"/>
  <c r="P17" i="37" s="1"/>
  <c r="Q17" i="37" s="1"/>
  <c r="O10" i="37"/>
  <c r="P10" i="37" s="1"/>
  <c r="Q10" i="37" s="1"/>
  <c r="O13" i="37"/>
  <c r="P13" i="37" s="1"/>
  <c r="Q13" i="37" s="1"/>
  <c r="O16" i="37"/>
  <c r="P16" i="37" s="1"/>
  <c r="Q16" i="37" s="1"/>
  <c r="O20" i="37"/>
  <c r="P20" i="37" s="1"/>
  <c r="Q20" i="37" s="1"/>
  <c r="L18" i="37"/>
  <c r="M18" i="37" s="1"/>
  <c r="O12" i="37"/>
  <c r="P12" i="37" s="1"/>
  <c r="Q12" i="37" s="1"/>
  <c r="L15" i="37"/>
  <c r="M15" i="37" s="1"/>
  <c r="O19" i="37"/>
  <c r="P19" i="37" s="1"/>
  <c r="Q19" i="37" s="1"/>
  <c r="O21" i="37"/>
  <c r="P21" i="37" s="1"/>
  <c r="Q21" i="37" s="1"/>
  <c r="L24" i="37"/>
  <c r="M24" i="37" s="1"/>
  <c r="H43" i="36"/>
  <c r="G43" i="36"/>
  <c r="B54" i="29"/>
  <c r="B52" i="29"/>
  <c r="B51" i="29"/>
  <c r="P52" i="37" l="1"/>
  <c r="Q52" i="37"/>
  <c r="B50" i="29"/>
  <c r="B49" i="29"/>
  <c r="B48" i="29"/>
  <c r="B47" i="29"/>
  <c r="B46" i="29"/>
  <c r="B45" i="29"/>
  <c r="N9" i="36"/>
  <c r="O9" i="36" s="1"/>
  <c r="P9" i="36" s="1"/>
  <c r="B44" i="29"/>
  <c r="Q52" i="36"/>
  <c r="N51" i="36"/>
  <c r="O51" i="36" s="1"/>
  <c r="P51" i="36" s="1"/>
  <c r="K51" i="36"/>
  <c r="L51" i="36" s="1"/>
  <c r="F51" i="36"/>
  <c r="N50" i="36"/>
  <c r="O50" i="36" s="1"/>
  <c r="P50" i="36" s="1"/>
  <c r="K50" i="36"/>
  <c r="L50" i="36" s="1"/>
  <c r="F50" i="36"/>
  <c r="N49" i="36"/>
  <c r="O49" i="36" s="1"/>
  <c r="P49" i="36" s="1"/>
  <c r="K49" i="36"/>
  <c r="L49" i="36" s="1"/>
  <c r="F49" i="36"/>
  <c r="N48" i="36"/>
  <c r="O48" i="36" s="1"/>
  <c r="P48" i="36" s="1"/>
  <c r="K48" i="36"/>
  <c r="L48" i="36" s="1"/>
  <c r="F48" i="36"/>
  <c r="N47" i="36"/>
  <c r="O47" i="36" s="1"/>
  <c r="P47" i="36" s="1"/>
  <c r="K47" i="36"/>
  <c r="L47" i="36" s="1"/>
  <c r="F47" i="36"/>
  <c r="N46" i="36"/>
  <c r="O46" i="36" s="1"/>
  <c r="P46" i="36" s="1"/>
  <c r="K46" i="36"/>
  <c r="L46" i="36" s="1"/>
  <c r="F46" i="36"/>
  <c r="N45" i="36"/>
  <c r="O45" i="36" s="1"/>
  <c r="P45" i="36" s="1"/>
  <c r="K45" i="36"/>
  <c r="L45" i="36" s="1"/>
  <c r="F45" i="36"/>
  <c r="N44" i="36"/>
  <c r="O44" i="36" s="1"/>
  <c r="P44" i="36" s="1"/>
  <c r="K44" i="36"/>
  <c r="L44" i="36" s="1"/>
  <c r="F44" i="36"/>
  <c r="N43" i="36"/>
  <c r="F43" i="36"/>
  <c r="N42" i="36"/>
  <c r="O42" i="36" s="1"/>
  <c r="P42" i="36" s="1"/>
  <c r="K42" i="36"/>
  <c r="L42" i="36" s="1"/>
  <c r="F42" i="36"/>
  <c r="N41" i="36"/>
  <c r="O41" i="36" s="1"/>
  <c r="P41" i="36" s="1"/>
  <c r="K41" i="36"/>
  <c r="L41" i="36" s="1"/>
  <c r="F41" i="36"/>
  <c r="N40" i="36"/>
  <c r="O40" i="36" s="1"/>
  <c r="P40" i="36" s="1"/>
  <c r="K40" i="36"/>
  <c r="L40" i="36" s="1"/>
  <c r="F40" i="36"/>
  <c r="N39" i="36"/>
  <c r="O39" i="36" s="1"/>
  <c r="P39" i="36" s="1"/>
  <c r="K39" i="36"/>
  <c r="L39" i="36" s="1"/>
  <c r="F39" i="36"/>
  <c r="N38" i="36"/>
  <c r="O38" i="36" s="1"/>
  <c r="P38" i="36" s="1"/>
  <c r="K38" i="36"/>
  <c r="L38" i="36" s="1"/>
  <c r="F38" i="36"/>
  <c r="N37" i="36"/>
  <c r="O37" i="36" s="1"/>
  <c r="P37" i="36" s="1"/>
  <c r="K37" i="36"/>
  <c r="F37" i="36"/>
  <c r="N36" i="36"/>
  <c r="O36" i="36" s="1"/>
  <c r="P36" i="36" s="1"/>
  <c r="K36" i="36"/>
  <c r="L36" i="36" s="1"/>
  <c r="F36" i="36"/>
  <c r="N35" i="36"/>
  <c r="O35" i="36" s="1"/>
  <c r="P35" i="36" s="1"/>
  <c r="K35" i="36"/>
  <c r="L35" i="36" s="1"/>
  <c r="F35" i="36"/>
  <c r="N34" i="36"/>
  <c r="O34" i="36" s="1"/>
  <c r="P34" i="36" s="1"/>
  <c r="K34" i="36"/>
  <c r="L34" i="36" s="1"/>
  <c r="F34" i="36"/>
  <c r="N33" i="36"/>
  <c r="O33" i="36" s="1"/>
  <c r="P33" i="36" s="1"/>
  <c r="K33" i="36"/>
  <c r="L33" i="36" s="1"/>
  <c r="F33" i="36"/>
  <c r="N32" i="36"/>
  <c r="O32" i="36" s="1"/>
  <c r="P32" i="36" s="1"/>
  <c r="K32" i="36"/>
  <c r="L32" i="36" s="1"/>
  <c r="F32" i="36"/>
  <c r="N31" i="36"/>
  <c r="O31" i="36" s="1"/>
  <c r="P31" i="36" s="1"/>
  <c r="K31" i="36"/>
  <c r="L31" i="36" s="1"/>
  <c r="F31" i="36"/>
  <c r="N30" i="36"/>
  <c r="O30" i="36" s="1"/>
  <c r="P30" i="36" s="1"/>
  <c r="K30" i="36"/>
  <c r="L30" i="36" s="1"/>
  <c r="F30" i="36"/>
  <c r="N29" i="36"/>
  <c r="O29" i="36" s="1"/>
  <c r="P29" i="36" s="1"/>
  <c r="K29" i="36"/>
  <c r="L29" i="36" s="1"/>
  <c r="F29" i="36"/>
  <c r="N28" i="36"/>
  <c r="O28" i="36" s="1"/>
  <c r="P28" i="36" s="1"/>
  <c r="K28" i="36"/>
  <c r="L28" i="36" s="1"/>
  <c r="F28" i="36"/>
  <c r="N27" i="36"/>
  <c r="O27" i="36" s="1"/>
  <c r="P27" i="36" s="1"/>
  <c r="K27" i="36"/>
  <c r="L27" i="36" s="1"/>
  <c r="F27" i="36"/>
  <c r="N26" i="36"/>
  <c r="O26" i="36" s="1"/>
  <c r="P26" i="36" s="1"/>
  <c r="K26" i="36"/>
  <c r="L26" i="36" s="1"/>
  <c r="F26" i="36"/>
  <c r="N25" i="36"/>
  <c r="O25" i="36" s="1"/>
  <c r="P25" i="36" s="1"/>
  <c r="K25" i="36"/>
  <c r="L25" i="36" s="1"/>
  <c r="F25" i="36"/>
  <c r="N24" i="36"/>
  <c r="O24" i="36" s="1"/>
  <c r="P24" i="36" s="1"/>
  <c r="K24" i="36"/>
  <c r="L24" i="36" s="1"/>
  <c r="F24" i="36"/>
  <c r="N23" i="36"/>
  <c r="O23" i="36" s="1"/>
  <c r="P23" i="36" s="1"/>
  <c r="K23" i="36"/>
  <c r="L23" i="36" s="1"/>
  <c r="F23" i="36"/>
  <c r="N22" i="36"/>
  <c r="O22" i="36" s="1"/>
  <c r="P22" i="36" s="1"/>
  <c r="K22" i="36"/>
  <c r="L22" i="36" s="1"/>
  <c r="F22" i="36"/>
  <c r="N21" i="36"/>
  <c r="O21" i="36" s="1"/>
  <c r="P21" i="36" s="1"/>
  <c r="K21" i="36"/>
  <c r="L21" i="36" s="1"/>
  <c r="F21" i="36"/>
  <c r="N20" i="36"/>
  <c r="O20" i="36" s="1"/>
  <c r="P20" i="36" s="1"/>
  <c r="K20" i="36"/>
  <c r="L20" i="36" s="1"/>
  <c r="F20" i="36"/>
  <c r="N19" i="36"/>
  <c r="O19" i="36" s="1"/>
  <c r="P19" i="36" s="1"/>
  <c r="K19" i="36"/>
  <c r="L19" i="36" s="1"/>
  <c r="F19" i="36"/>
  <c r="N18" i="36"/>
  <c r="O18" i="36" s="1"/>
  <c r="P18" i="36" s="1"/>
  <c r="K18" i="36"/>
  <c r="L18" i="36" s="1"/>
  <c r="F18" i="36"/>
  <c r="N17" i="36"/>
  <c r="O17" i="36" s="1"/>
  <c r="P17" i="36" s="1"/>
  <c r="K17" i="36"/>
  <c r="L17" i="36" s="1"/>
  <c r="F17" i="36"/>
  <c r="N16" i="36"/>
  <c r="O16" i="36" s="1"/>
  <c r="P16" i="36" s="1"/>
  <c r="K16" i="36"/>
  <c r="L16" i="36" s="1"/>
  <c r="F16" i="36"/>
  <c r="N15" i="36"/>
  <c r="O15" i="36" s="1"/>
  <c r="P15" i="36" s="1"/>
  <c r="K15" i="36"/>
  <c r="L15" i="36" s="1"/>
  <c r="F15" i="36"/>
  <c r="N14" i="36"/>
  <c r="O14" i="36" s="1"/>
  <c r="P14" i="36" s="1"/>
  <c r="K14" i="36"/>
  <c r="L14" i="36" s="1"/>
  <c r="F14" i="36"/>
  <c r="N13" i="36"/>
  <c r="O13" i="36" s="1"/>
  <c r="P13" i="36" s="1"/>
  <c r="K13" i="36"/>
  <c r="L13" i="36" s="1"/>
  <c r="F13" i="36"/>
  <c r="N12" i="36"/>
  <c r="O12" i="36" s="1"/>
  <c r="P12" i="36" s="1"/>
  <c r="K12" i="36"/>
  <c r="L12" i="36" s="1"/>
  <c r="F12" i="36"/>
  <c r="N11" i="36"/>
  <c r="O11" i="36" s="1"/>
  <c r="P11" i="36" s="1"/>
  <c r="K11" i="36"/>
  <c r="L11" i="36" s="1"/>
  <c r="F11" i="36"/>
  <c r="N10" i="36"/>
  <c r="O10" i="36" s="1"/>
  <c r="P10" i="36" s="1"/>
  <c r="K10" i="36"/>
  <c r="L10" i="36" s="1"/>
  <c r="F10" i="36"/>
  <c r="K9" i="36"/>
  <c r="L9" i="36" s="1"/>
  <c r="F9" i="36"/>
  <c r="N8" i="36"/>
  <c r="O8" i="36" s="1"/>
  <c r="P8" i="36" s="1"/>
  <c r="K8" i="36"/>
  <c r="L8" i="36" s="1"/>
  <c r="F8" i="36"/>
  <c r="N7" i="36"/>
  <c r="O7" i="36" s="1"/>
  <c r="P7" i="36" s="1"/>
  <c r="K7" i="36"/>
  <c r="L7" i="36" s="1"/>
  <c r="F7" i="36"/>
  <c r="N6" i="36"/>
  <c r="O6" i="36" s="1"/>
  <c r="P6" i="36" s="1"/>
  <c r="K6" i="36"/>
  <c r="L6" i="36" s="1"/>
  <c r="F6" i="36"/>
  <c r="N5" i="36"/>
  <c r="O5" i="36" s="1"/>
  <c r="P5" i="36" s="1"/>
  <c r="K5" i="36"/>
  <c r="L5" i="36" s="1"/>
  <c r="F5" i="36"/>
  <c r="N4" i="36"/>
  <c r="O4" i="36" s="1"/>
  <c r="K4" i="36"/>
  <c r="L4" i="36" s="1"/>
  <c r="F4" i="36"/>
  <c r="B43" i="29"/>
  <c r="B42" i="29"/>
  <c r="B41" i="29"/>
  <c r="O43" i="36" l="1"/>
  <c r="P43" i="36" s="1"/>
  <c r="L37" i="36"/>
  <c r="K43" i="36"/>
  <c r="L43" i="36" s="1"/>
  <c r="O52" i="36"/>
  <c r="P4" i="36"/>
  <c r="B40" i="29"/>
  <c r="B39" i="29"/>
  <c r="B38" i="29"/>
  <c r="B37" i="29"/>
  <c r="B36" i="29"/>
  <c r="B35" i="29"/>
  <c r="B34" i="29"/>
  <c r="P52" i="36" l="1"/>
  <c r="B33" i="29"/>
  <c r="B32" i="29"/>
  <c r="F4" i="35" l="1"/>
  <c r="K4" i="35"/>
  <c r="L4" i="35" s="1"/>
  <c r="N4" i="35"/>
  <c r="O4" i="35" s="1"/>
  <c r="P4" i="35" s="1"/>
  <c r="F5" i="35"/>
  <c r="K5" i="35"/>
  <c r="L5" i="35" s="1"/>
  <c r="N5" i="35"/>
  <c r="O5" i="35" s="1"/>
  <c r="P5" i="35" s="1"/>
  <c r="F6" i="35"/>
  <c r="K6" i="35"/>
  <c r="L6" i="35" s="1"/>
  <c r="N6" i="35"/>
  <c r="O6" i="35" s="1"/>
  <c r="P6" i="35" s="1"/>
  <c r="F7" i="35"/>
  <c r="K7" i="35"/>
  <c r="L7" i="35" s="1"/>
  <c r="N7" i="35"/>
  <c r="O7" i="35" s="1"/>
  <c r="P7" i="35" s="1"/>
  <c r="F8" i="35"/>
  <c r="K8" i="35"/>
  <c r="L8" i="35" s="1"/>
  <c r="N8" i="35"/>
  <c r="O8" i="35" s="1"/>
  <c r="P8" i="35" s="1"/>
  <c r="F9" i="35"/>
  <c r="K9" i="35"/>
  <c r="L9" i="35" s="1"/>
  <c r="N9" i="35"/>
  <c r="O9" i="35" s="1"/>
  <c r="P9" i="35" s="1"/>
  <c r="F10" i="35"/>
  <c r="K10" i="35"/>
  <c r="L10" i="35" s="1"/>
  <c r="N10" i="35"/>
  <c r="O10" i="35" s="1"/>
  <c r="P10" i="35" s="1"/>
  <c r="F11" i="35"/>
  <c r="K11" i="35"/>
  <c r="L11" i="35" s="1"/>
  <c r="N11" i="35"/>
  <c r="O11" i="35" s="1"/>
  <c r="P11" i="35" s="1"/>
  <c r="F12" i="35"/>
  <c r="K12" i="35"/>
  <c r="L12" i="35" s="1"/>
  <c r="N12" i="35"/>
  <c r="O12" i="35" s="1"/>
  <c r="P12" i="35" s="1"/>
  <c r="F13" i="35"/>
  <c r="K13" i="35"/>
  <c r="L13" i="35" s="1"/>
  <c r="N13" i="35"/>
  <c r="O13" i="35" s="1"/>
  <c r="P13" i="35" s="1"/>
  <c r="F14" i="35"/>
  <c r="K14" i="35"/>
  <c r="L14" i="35" s="1"/>
  <c r="N14" i="35"/>
  <c r="O14" i="35" s="1"/>
  <c r="P14" i="35" s="1"/>
  <c r="F15" i="35"/>
  <c r="K15" i="35"/>
  <c r="L15" i="35" s="1"/>
  <c r="N15" i="35"/>
  <c r="O15" i="35" s="1"/>
  <c r="P15" i="35" s="1"/>
  <c r="F16" i="35"/>
  <c r="K16" i="35"/>
  <c r="L16" i="35" s="1"/>
  <c r="N16" i="35"/>
  <c r="O16" i="35" s="1"/>
  <c r="P16" i="35" s="1"/>
  <c r="F17" i="35"/>
  <c r="K17" i="35"/>
  <c r="L17" i="35" s="1"/>
  <c r="N17" i="35"/>
  <c r="O17" i="35" s="1"/>
  <c r="P17" i="35" s="1"/>
  <c r="F18" i="35"/>
  <c r="K18" i="35"/>
  <c r="L18" i="35" s="1"/>
  <c r="N18" i="35"/>
  <c r="O18" i="35" s="1"/>
  <c r="P18" i="35" s="1"/>
  <c r="F19" i="35"/>
  <c r="K19" i="35"/>
  <c r="L19" i="35" s="1"/>
  <c r="N19" i="35"/>
  <c r="O19" i="35" s="1"/>
  <c r="P19" i="35" s="1"/>
  <c r="F20" i="35"/>
  <c r="K20" i="35"/>
  <c r="L20" i="35" s="1"/>
  <c r="N20" i="35"/>
  <c r="O20" i="35" s="1"/>
  <c r="P20" i="35" s="1"/>
  <c r="F21" i="35"/>
  <c r="K21" i="35"/>
  <c r="L21" i="35" s="1"/>
  <c r="N21" i="35"/>
  <c r="O21" i="35" s="1"/>
  <c r="P21" i="35" s="1"/>
  <c r="F22" i="35"/>
  <c r="K22" i="35"/>
  <c r="L22" i="35" s="1"/>
  <c r="N22" i="35"/>
  <c r="O22" i="35" s="1"/>
  <c r="P22" i="35" s="1"/>
  <c r="F23" i="35"/>
  <c r="K23" i="35"/>
  <c r="L23" i="35" s="1"/>
  <c r="N23" i="35"/>
  <c r="O23" i="35" s="1"/>
  <c r="P23" i="35" s="1"/>
  <c r="F24" i="35"/>
  <c r="K24" i="35"/>
  <c r="L24" i="35" s="1"/>
  <c r="N24" i="35"/>
  <c r="O24" i="35" s="1"/>
  <c r="P24" i="35" s="1"/>
  <c r="F25" i="35"/>
  <c r="K25" i="35"/>
  <c r="L25" i="35" s="1"/>
  <c r="N25" i="35"/>
  <c r="O25" i="35" s="1"/>
  <c r="P25" i="35" s="1"/>
  <c r="F26" i="35"/>
  <c r="K26" i="35"/>
  <c r="L26" i="35" s="1"/>
  <c r="N26" i="35"/>
  <c r="O26" i="35" s="1"/>
  <c r="P26" i="35" s="1"/>
  <c r="F27" i="35"/>
  <c r="K27" i="35"/>
  <c r="L27" i="35" s="1"/>
  <c r="N27" i="35"/>
  <c r="O27" i="35" s="1"/>
  <c r="P27" i="35" s="1"/>
  <c r="F28" i="35"/>
  <c r="K28" i="35"/>
  <c r="L28" i="35" s="1"/>
  <c r="N28" i="35"/>
  <c r="O28" i="35" s="1"/>
  <c r="P28" i="35" s="1"/>
  <c r="F29" i="35"/>
  <c r="K29" i="35"/>
  <c r="L29" i="35" s="1"/>
  <c r="N29" i="35"/>
  <c r="O29" i="35" s="1"/>
  <c r="P29" i="35" s="1"/>
  <c r="F30" i="35"/>
  <c r="K30" i="35"/>
  <c r="L30" i="35" s="1"/>
  <c r="N30" i="35"/>
  <c r="O30" i="35" s="1"/>
  <c r="P30" i="35" s="1"/>
  <c r="F31" i="35"/>
  <c r="K31" i="35"/>
  <c r="L31" i="35" s="1"/>
  <c r="N31" i="35"/>
  <c r="O31" i="35" s="1"/>
  <c r="P31" i="35" s="1"/>
  <c r="F32" i="35"/>
  <c r="K32" i="35"/>
  <c r="L32" i="35"/>
  <c r="N32" i="35"/>
  <c r="O32" i="35" s="1"/>
  <c r="P32" i="35" s="1"/>
  <c r="F33" i="35"/>
  <c r="K33" i="35"/>
  <c r="L33" i="35"/>
  <c r="N33" i="35"/>
  <c r="O33" i="35" s="1"/>
  <c r="P33" i="35" s="1"/>
  <c r="F34" i="35"/>
  <c r="K34" i="35"/>
  <c r="L34" i="35" s="1"/>
  <c r="N34" i="35"/>
  <c r="O34" i="35" s="1"/>
  <c r="P34" i="35" s="1"/>
  <c r="F35" i="35"/>
  <c r="K35" i="35"/>
  <c r="L35" i="35" s="1"/>
  <c r="N35" i="35"/>
  <c r="O35" i="35" s="1"/>
  <c r="P35" i="35" s="1"/>
  <c r="F36" i="35"/>
  <c r="K36" i="35"/>
  <c r="L36" i="35" s="1"/>
  <c r="N36" i="35"/>
  <c r="O36" i="35" s="1"/>
  <c r="P36" i="35" s="1"/>
  <c r="F37" i="35"/>
  <c r="K37" i="35"/>
  <c r="L37" i="35" s="1"/>
  <c r="N37" i="35"/>
  <c r="O37" i="35" s="1"/>
  <c r="P37" i="35" s="1"/>
  <c r="F38" i="35"/>
  <c r="K38" i="35"/>
  <c r="L38" i="35" s="1"/>
  <c r="N38" i="35"/>
  <c r="O38" i="35" s="1"/>
  <c r="P38" i="35" s="1"/>
  <c r="F39" i="35"/>
  <c r="K39" i="35"/>
  <c r="L39" i="35" s="1"/>
  <c r="N39" i="35"/>
  <c r="O39" i="35" s="1"/>
  <c r="P39" i="35" s="1"/>
  <c r="F40" i="35"/>
  <c r="K40" i="35"/>
  <c r="L40" i="35"/>
  <c r="N40" i="35"/>
  <c r="O40" i="35" s="1"/>
  <c r="P40" i="35" s="1"/>
  <c r="F41" i="35"/>
  <c r="K41" i="35"/>
  <c r="L41" i="35" s="1"/>
  <c r="N41" i="35"/>
  <c r="O41" i="35" s="1"/>
  <c r="P41" i="35" s="1"/>
  <c r="F42" i="35"/>
  <c r="K42" i="35"/>
  <c r="L42" i="35" s="1"/>
  <c r="N42" i="35"/>
  <c r="O42" i="35" s="1"/>
  <c r="P42" i="35" s="1"/>
  <c r="F43" i="35"/>
  <c r="K43" i="35"/>
  <c r="L43" i="35" s="1"/>
  <c r="N43" i="35"/>
  <c r="O43" i="35" s="1"/>
  <c r="P43" i="35" s="1"/>
  <c r="F44" i="35"/>
  <c r="K44" i="35"/>
  <c r="L44" i="35"/>
  <c r="N44" i="35"/>
  <c r="O44" i="35" s="1"/>
  <c r="P44" i="35" s="1"/>
  <c r="F45" i="35"/>
  <c r="K45" i="35"/>
  <c r="L45" i="35" s="1"/>
  <c r="N45" i="35"/>
  <c r="O45" i="35" s="1"/>
  <c r="P45" i="35" s="1"/>
  <c r="F46" i="35"/>
  <c r="K46" i="35"/>
  <c r="L46" i="35" s="1"/>
  <c r="N46" i="35"/>
  <c r="O46" i="35" s="1"/>
  <c r="P46" i="35" s="1"/>
  <c r="F47" i="35"/>
  <c r="K47" i="35"/>
  <c r="L47" i="35"/>
  <c r="N47" i="35"/>
  <c r="O47" i="35" s="1"/>
  <c r="P47" i="35" s="1"/>
  <c r="F48" i="35"/>
  <c r="K48" i="35"/>
  <c r="L48" i="35" s="1"/>
  <c r="N48" i="35"/>
  <c r="O48" i="35" s="1"/>
  <c r="P48" i="35" s="1"/>
  <c r="F49" i="35"/>
  <c r="K49" i="35"/>
  <c r="L49" i="35"/>
  <c r="N49" i="35"/>
  <c r="O49" i="35"/>
  <c r="P49" i="35" s="1"/>
  <c r="F50" i="35"/>
  <c r="K50" i="35"/>
  <c r="L50" i="35" s="1"/>
  <c r="N50" i="35"/>
  <c r="O50" i="35" s="1"/>
  <c r="P50" i="35" s="1"/>
  <c r="F51" i="35"/>
  <c r="K51" i="35"/>
  <c r="L51" i="35"/>
  <c r="N51" i="35"/>
  <c r="O51" i="35" s="1"/>
  <c r="P51" i="35" s="1"/>
  <c r="Q52" i="35"/>
  <c r="B31" i="29"/>
  <c r="B30" i="29"/>
  <c r="B29" i="29"/>
  <c r="B28" i="29"/>
  <c r="B27" i="29"/>
  <c r="E29" i="34"/>
  <c r="F22" i="29"/>
  <c r="F21" i="29"/>
  <c r="F20" i="29"/>
  <c r="Q52" i="34"/>
  <c r="N51" i="34"/>
  <c r="O51" i="34" s="1"/>
  <c r="P51" i="34" s="1"/>
  <c r="K51" i="34"/>
  <c r="L51" i="34" s="1"/>
  <c r="F51" i="34"/>
  <c r="N50" i="34"/>
  <c r="O50" i="34" s="1"/>
  <c r="P50" i="34" s="1"/>
  <c r="K50" i="34"/>
  <c r="L50" i="34" s="1"/>
  <c r="F50" i="34"/>
  <c r="N49" i="34"/>
  <c r="O49" i="34" s="1"/>
  <c r="P49" i="34" s="1"/>
  <c r="K49" i="34"/>
  <c r="L49" i="34" s="1"/>
  <c r="F49" i="34"/>
  <c r="N48" i="34"/>
  <c r="O48" i="34" s="1"/>
  <c r="P48" i="34" s="1"/>
  <c r="K48" i="34"/>
  <c r="L48" i="34" s="1"/>
  <c r="F48" i="34"/>
  <c r="N47" i="34"/>
  <c r="O47" i="34" s="1"/>
  <c r="P47" i="34" s="1"/>
  <c r="K47" i="34"/>
  <c r="L47" i="34" s="1"/>
  <c r="F47" i="34"/>
  <c r="N46" i="34"/>
  <c r="O46" i="34" s="1"/>
  <c r="P46" i="34" s="1"/>
  <c r="K46" i="34"/>
  <c r="L46" i="34" s="1"/>
  <c r="F46" i="34"/>
  <c r="N45" i="34"/>
  <c r="O45" i="34" s="1"/>
  <c r="P45" i="34" s="1"/>
  <c r="K45" i="34"/>
  <c r="L45" i="34" s="1"/>
  <c r="F45" i="34"/>
  <c r="N44" i="34"/>
  <c r="O44" i="34" s="1"/>
  <c r="P44" i="34" s="1"/>
  <c r="K44" i="34"/>
  <c r="L44" i="34" s="1"/>
  <c r="F44" i="34"/>
  <c r="N43" i="34"/>
  <c r="O43" i="34" s="1"/>
  <c r="P43" i="34" s="1"/>
  <c r="K43" i="34"/>
  <c r="L43" i="34" s="1"/>
  <c r="F43" i="34"/>
  <c r="N42" i="34"/>
  <c r="O42" i="34" s="1"/>
  <c r="P42" i="34" s="1"/>
  <c r="K42" i="34"/>
  <c r="L42" i="34" s="1"/>
  <c r="F42" i="34"/>
  <c r="N41" i="34"/>
  <c r="O41" i="34" s="1"/>
  <c r="P41" i="34" s="1"/>
  <c r="K41" i="34"/>
  <c r="L41" i="34" s="1"/>
  <c r="F41" i="34"/>
  <c r="N40" i="34"/>
  <c r="O40" i="34" s="1"/>
  <c r="P40" i="34" s="1"/>
  <c r="K40" i="34"/>
  <c r="L40" i="34" s="1"/>
  <c r="F40" i="34"/>
  <c r="N39" i="34"/>
  <c r="O39" i="34" s="1"/>
  <c r="P39" i="34" s="1"/>
  <c r="K39" i="34"/>
  <c r="L39" i="34" s="1"/>
  <c r="F39" i="34"/>
  <c r="N38" i="34"/>
  <c r="O38" i="34" s="1"/>
  <c r="P38" i="34" s="1"/>
  <c r="K38" i="34"/>
  <c r="L38" i="34" s="1"/>
  <c r="F38" i="34"/>
  <c r="N37" i="34"/>
  <c r="O37" i="34" s="1"/>
  <c r="P37" i="34" s="1"/>
  <c r="K37" i="34"/>
  <c r="L37" i="34" s="1"/>
  <c r="F37" i="34"/>
  <c r="N36" i="34"/>
  <c r="O36" i="34" s="1"/>
  <c r="P36" i="34" s="1"/>
  <c r="K36" i="34"/>
  <c r="L36" i="34" s="1"/>
  <c r="F36" i="34"/>
  <c r="N35" i="34"/>
  <c r="O35" i="34" s="1"/>
  <c r="P35" i="34" s="1"/>
  <c r="K35" i="34"/>
  <c r="L35" i="34" s="1"/>
  <c r="F35" i="34"/>
  <c r="N34" i="34"/>
  <c r="O34" i="34" s="1"/>
  <c r="P34" i="34" s="1"/>
  <c r="K34" i="34"/>
  <c r="L34" i="34" s="1"/>
  <c r="F34" i="34"/>
  <c r="N33" i="34"/>
  <c r="O33" i="34" s="1"/>
  <c r="P33" i="34" s="1"/>
  <c r="K33" i="34"/>
  <c r="L33" i="34" s="1"/>
  <c r="F33" i="34"/>
  <c r="N32" i="34"/>
  <c r="O32" i="34" s="1"/>
  <c r="P32" i="34" s="1"/>
  <c r="K32" i="34"/>
  <c r="L32" i="34" s="1"/>
  <c r="F32" i="34"/>
  <c r="N31" i="34"/>
  <c r="O31" i="34" s="1"/>
  <c r="P31" i="34" s="1"/>
  <c r="K31" i="34"/>
  <c r="L31" i="34" s="1"/>
  <c r="F31" i="34"/>
  <c r="N30" i="34"/>
  <c r="O30" i="34" s="1"/>
  <c r="P30" i="34" s="1"/>
  <c r="K30" i="34"/>
  <c r="L30" i="34" s="1"/>
  <c r="F30" i="34"/>
  <c r="N29" i="34"/>
  <c r="O29" i="34" s="1"/>
  <c r="P29" i="34" s="1"/>
  <c r="K29" i="34"/>
  <c r="L29" i="34" s="1"/>
  <c r="F29" i="34"/>
  <c r="N28" i="34"/>
  <c r="O28" i="34" s="1"/>
  <c r="P28" i="34" s="1"/>
  <c r="K28" i="34"/>
  <c r="L28" i="34" s="1"/>
  <c r="F28" i="34"/>
  <c r="N27" i="34"/>
  <c r="O27" i="34" s="1"/>
  <c r="P27" i="34" s="1"/>
  <c r="K27" i="34"/>
  <c r="L27" i="34" s="1"/>
  <c r="F27" i="34"/>
  <c r="N26" i="34"/>
  <c r="O26" i="34" s="1"/>
  <c r="P26" i="34" s="1"/>
  <c r="K26" i="34"/>
  <c r="L26" i="34" s="1"/>
  <c r="F26" i="34"/>
  <c r="N25" i="34"/>
  <c r="O25" i="34" s="1"/>
  <c r="P25" i="34" s="1"/>
  <c r="K25" i="34"/>
  <c r="L25" i="34" s="1"/>
  <c r="F25" i="34"/>
  <c r="N24" i="34"/>
  <c r="O24" i="34" s="1"/>
  <c r="P24" i="34" s="1"/>
  <c r="K24" i="34"/>
  <c r="L24" i="34" s="1"/>
  <c r="F24" i="34"/>
  <c r="N23" i="34"/>
  <c r="O23" i="34" s="1"/>
  <c r="P23" i="34" s="1"/>
  <c r="K23" i="34"/>
  <c r="L23" i="34" s="1"/>
  <c r="F23" i="34"/>
  <c r="N22" i="34"/>
  <c r="O22" i="34" s="1"/>
  <c r="P22" i="34" s="1"/>
  <c r="K22" i="34"/>
  <c r="L22" i="34" s="1"/>
  <c r="F22" i="34"/>
  <c r="N21" i="34"/>
  <c r="O21" i="34" s="1"/>
  <c r="P21" i="34" s="1"/>
  <c r="K21" i="34"/>
  <c r="L21" i="34" s="1"/>
  <c r="F21" i="34"/>
  <c r="N20" i="34"/>
  <c r="O20" i="34" s="1"/>
  <c r="P20" i="34" s="1"/>
  <c r="K20" i="34"/>
  <c r="L20" i="34" s="1"/>
  <c r="F20" i="34"/>
  <c r="N19" i="34"/>
  <c r="O19" i="34" s="1"/>
  <c r="P19" i="34" s="1"/>
  <c r="K19" i="34"/>
  <c r="L19" i="34" s="1"/>
  <c r="F19" i="34"/>
  <c r="N18" i="34"/>
  <c r="O18" i="34" s="1"/>
  <c r="P18" i="34" s="1"/>
  <c r="K18" i="34"/>
  <c r="L18" i="34" s="1"/>
  <c r="F18" i="34"/>
  <c r="N17" i="34"/>
  <c r="O17" i="34" s="1"/>
  <c r="P17" i="34" s="1"/>
  <c r="K17" i="34"/>
  <c r="L17" i="34" s="1"/>
  <c r="F17" i="34"/>
  <c r="N16" i="34"/>
  <c r="O16" i="34" s="1"/>
  <c r="P16" i="34" s="1"/>
  <c r="K16" i="34"/>
  <c r="L16" i="34" s="1"/>
  <c r="F16" i="34"/>
  <c r="N15" i="34"/>
  <c r="O15" i="34" s="1"/>
  <c r="P15" i="34" s="1"/>
  <c r="K15" i="34"/>
  <c r="L15" i="34" s="1"/>
  <c r="F15" i="34"/>
  <c r="N14" i="34"/>
  <c r="O14" i="34" s="1"/>
  <c r="P14" i="34" s="1"/>
  <c r="K14" i="34"/>
  <c r="L14" i="34" s="1"/>
  <c r="F14" i="34"/>
  <c r="N13" i="34"/>
  <c r="O13" i="34" s="1"/>
  <c r="P13" i="34" s="1"/>
  <c r="K13" i="34"/>
  <c r="L13" i="34" s="1"/>
  <c r="F13" i="34"/>
  <c r="N12" i="34"/>
  <c r="O12" i="34" s="1"/>
  <c r="P12" i="34" s="1"/>
  <c r="K12" i="34"/>
  <c r="L12" i="34" s="1"/>
  <c r="F12" i="34"/>
  <c r="N11" i="34"/>
  <c r="O11" i="34" s="1"/>
  <c r="P11" i="34" s="1"/>
  <c r="K11" i="34"/>
  <c r="L11" i="34" s="1"/>
  <c r="F11" i="34"/>
  <c r="N10" i="34"/>
  <c r="O10" i="34" s="1"/>
  <c r="P10" i="34" s="1"/>
  <c r="K10" i="34"/>
  <c r="L10" i="34" s="1"/>
  <c r="F10" i="34"/>
  <c r="N9" i="34"/>
  <c r="O9" i="34" s="1"/>
  <c r="P9" i="34" s="1"/>
  <c r="K9" i="34"/>
  <c r="L9" i="34" s="1"/>
  <c r="F9" i="34"/>
  <c r="N8" i="34"/>
  <c r="O8" i="34" s="1"/>
  <c r="P8" i="34" s="1"/>
  <c r="K8" i="34"/>
  <c r="L8" i="34" s="1"/>
  <c r="F8" i="34"/>
  <c r="N7" i="34"/>
  <c r="O7" i="34" s="1"/>
  <c r="P7" i="34" s="1"/>
  <c r="K7" i="34"/>
  <c r="L7" i="34" s="1"/>
  <c r="F7" i="34"/>
  <c r="N6" i="34"/>
  <c r="O6" i="34" s="1"/>
  <c r="P6" i="34" s="1"/>
  <c r="K6" i="34"/>
  <c r="L6" i="34" s="1"/>
  <c r="F6" i="34"/>
  <c r="N5" i="34"/>
  <c r="O5" i="34" s="1"/>
  <c r="P5" i="34" s="1"/>
  <c r="K5" i="34"/>
  <c r="L5" i="34" s="1"/>
  <c r="F5" i="34"/>
  <c r="N4" i="34"/>
  <c r="O4" i="34" s="1"/>
  <c r="K4" i="34"/>
  <c r="L4" i="34" s="1"/>
  <c r="F4" i="34"/>
  <c r="F19" i="29"/>
  <c r="F18" i="29"/>
  <c r="Q53" i="33"/>
  <c r="F17" i="29"/>
  <c r="F16" i="29"/>
  <c r="F15" i="29"/>
  <c r="F10" i="29"/>
  <c r="F9" i="29"/>
  <c r="F8" i="29"/>
  <c r="F12" i="29"/>
  <c r="F13" i="29"/>
  <c r="F14" i="29"/>
  <c r="F11" i="29"/>
  <c r="N52" i="33"/>
  <c r="O52" i="33" s="1"/>
  <c r="P52" i="33" s="1"/>
  <c r="K52" i="33"/>
  <c r="L52" i="33" s="1"/>
  <c r="F52" i="33"/>
  <c r="N51" i="33"/>
  <c r="O51" i="33" s="1"/>
  <c r="P51" i="33" s="1"/>
  <c r="K51" i="33"/>
  <c r="L51" i="33" s="1"/>
  <c r="F51" i="33"/>
  <c r="N50" i="33"/>
  <c r="O50" i="33" s="1"/>
  <c r="P50" i="33" s="1"/>
  <c r="K50" i="33"/>
  <c r="L50" i="33" s="1"/>
  <c r="F50" i="33"/>
  <c r="N49" i="33"/>
  <c r="O49" i="33" s="1"/>
  <c r="P49" i="33" s="1"/>
  <c r="K49" i="33"/>
  <c r="L49" i="33" s="1"/>
  <c r="F49" i="33"/>
  <c r="N48" i="33"/>
  <c r="O48" i="33" s="1"/>
  <c r="P48" i="33" s="1"/>
  <c r="K48" i="33"/>
  <c r="L48" i="33" s="1"/>
  <c r="F48" i="33"/>
  <c r="N47" i="33"/>
  <c r="O47" i="33" s="1"/>
  <c r="P47" i="33" s="1"/>
  <c r="K47" i="33"/>
  <c r="L47" i="33" s="1"/>
  <c r="F47" i="33"/>
  <c r="N46" i="33"/>
  <c r="O46" i="33" s="1"/>
  <c r="P46" i="33" s="1"/>
  <c r="K46" i="33"/>
  <c r="L46" i="33" s="1"/>
  <c r="F46" i="33"/>
  <c r="N45" i="33"/>
  <c r="O45" i="33" s="1"/>
  <c r="P45" i="33" s="1"/>
  <c r="K45" i="33"/>
  <c r="L45" i="33" s="1"/>
  <c r="F45" i="33"/>
  <c r="N44" i="33"/>
  <c r="O44" i="33" s="1"/>
  <c r="P44" i="33" s="1"/>
  <c r="K44" i="33"/>
  <c r="L44" i="33" s="1"/>
  <c r="F44" i="33"/>
  <c r="N43" i="33"/>
  <c r="O43" i="33" s="1"/>
  <c r="P43" i="33" s="1"/>
  <c r="K43" i="33"/>
  <c r="L43" i="33" s="1"/>
  <c r="F43" i="33"/>
  <c r="N42" i="33"/>
  <c r="O42" i="33" s="1"/>
  <c r="P42" i="33" s="1"/>
  <c r="K42" i="33"/>
  <c r="L42" i="33" s="1"/>
  <c r="F42" i="33"/>
  <c r="N41" i="33"/>
  <c r="O41" i="33" s="1"/>
  <c r="P41" i="33" s="1"/>
  <c r="K41" i="33"/>
  <c r="L41" i="33" s="1"/>
  <c r="F41" i="33"/>
  <c r="N40" i="33"/>
  <c r="O40" i="33" s="1"/>
  <c r="P40" i="33" s="1"/>
  <c r="K40" i="33"/>
  <c r="L40" i="33" s="1"/>
  <c r="F40" i="33"/>
  <c r="N39" i="33"/>
  <c r="O39" i="33" s="1"/>
  <c r="P39" i="33" s="1"/>
  <c r="K39" i="33"/>
  <c r="L39" i="33" s="1"/>
  <c r="F39" i="33"/>
  <c r="N38" i="33"/>
  <c r="O38" i="33" s="1"/>
  <c r="P38" i="33" s="1"/>
  <c r="K38" i="33"/>
  <c r="L38" i="33" s="1"/>
  <c r="F38" i="33"/>
  <c r="N37" i="33"/>
  <c r="O37" i="33" s="1"/>
  <c r="P37" i="33" s="1"/>
  <c r="K37" i="33"/>
  <c r="L37" i="33" s="1"/>
  <c r="F37" i="33"/>
  <c r="N36" i="33"/>
  <c r="O36" i="33" s="1"/>
  <c r="P36" i="33" s="1"/>
  <c r="K36" i="33"/>
  <c r="L36" i="33" s="1"/>
  <c r="F36" i="33"/>
  <c r="N35" i="33"/>
  <c r="O35" i="33" s="1"/>
  <c r="P35" i="33" s="1"/>
  <c r="K35" i="33"/>
  <c r="L35" i="33" s="1"/>
  <c r="F35" i="33"/>
  <c r="N34" i="33"/>
  <c r="O34" i="33" s="1"/>
  <c r="P34" i="33" s="1"/>
  <c r="K34" i="33"/>
  <c r="L34" i="33" s="1"/>
  <c r="F34" i="33"/>
  <c r="N33" i="33"/>
  <c r="O33" i="33" s="1"/>
  <c r="P33" i="33" s="1"/>
  <c r="K33" i="33"/>
  <c r="L33" i="33" s="1"/>
  <c r="F33" i="33"/>
  <c r="N32" i="33"/>
  <c r="O32" i="33" s="1"/>
  <c r="P32" i="33" s="1"/>
  <c r="K32" i="33"/>
  <c r="L32" i="33" s="1"/>
  <c r="F32" i="33"/>
  <c r="N31" i="33"/>
  <c r="O31" i="33" s="1"/>
  <c r="P31" i="33" s="1"/>
  <c r="K31" i="33"/>
  <c r="L31" i="33" s="1"/>
  <c r="F31" i="33"/>
  <c r="O52" i="35" l="1"/>
  <c r="P52" i="35"/>
  <c r="P4" i="34"/>
  <c r="P52" i="34" s="1"/>
  <c r="O52" i="34"/>
  <c r="H38" i="24"/>
  <c r="L38" i="24"/>
  <c r="K14" i="33"/>
  <c r="L14" i="33" s="1"/>
  <c r="K13" i="33"/>
  <c r="L13" i="33" s="1"/>
  <c r="G3" i="32"/>
  <c r="G4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" i="32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4" i="33"/>
  <c r="N5" i="33"/>
  <c r="N6" i="33"/>
  <c r="O6" i="33" s="1"/>
  <c r="P6" i="33" s="1"/>
  <c r="N7" i="33"/>
  <c r="O7" i="33" s="1"/>
  <c r="P7" i="33" s="1"/>
  <c r="N8" i="33"/>
  <c r="O8" i="33" s="1"/>
  <c r="P8" i="33" s="1"/>
  <c r="N9" i="33"/>
  <c r="O9" i="33" s="1"/>
  <c r="P9" i="33" s="1"/>
  <c r="N10" i="33"/>
  <c r="O10" i="33" s="1"/>
  <c r="P10" i="33" s="1"/>
  <c r="N11" i="33"/>
  <c r="O11" i="33" s="1"/>
  <c r="P11" i="33" s="1"/>
  <c r="N12" i="33"/>
  <c r="O12" i="33" s="1"/>
  <c r="P12" i="33" s="1"/>
  <c r="N13" i="33"/>
  <c r="O13" i="33" s="1"/>
  <c r="P13" i="33" s="1"/>
  <c r="N14" i="33"/>
  <c r="O14" i="33" s="1"/>
  <c r="P14" i="33" s="1"/>
  <c r="N15" i="33"/>
  <c r="O15" i="33" s="1"/>
  <c r="P15" i="33" s="1"/>
  <c r="N16" i="33"/>
  <c r="O16" i="33" s="1"/>
  <c r="P16" i="33" s="1"/>
  <c r="N17" i="33"/>
  <c r="O17" i="33" s="1"/>
  <c r="P17" i="33" s="1"/>
  <c r="N18" i="33"/>
  <c r="O18" i="33" s="1"/>
  <c r="P18" i="33" s="1"/>
  <c r="N19" i="33"/>
  <c r="O19" i="33" s="1"/>
  <c r="P19" i="33" s="1"/>
  <c r="N20" i="33"/>
  <c r="O20" i="33" s="1"/>
  <c r="P20" i="33" s="1"/>
  <c r="N21" i="33"/>
  <c r="O21" i="33" s="1"/>
  <c r="P21" i="33" s="1"/>
  <c r="N22" i="33"/>
  <c r="O22" i="33" s="1"/>
  <c r="P22" i="33" s="1"/>
  <c r="N23" i="33"/>
  <c r="O23" i="33" s="1"/>
  <c r="P23" i="33" s="1"/>
  <c r="N24" i="33"/>
  <c r="O24" i="33" s="1"/>
  <c r="P24" i="33" s="1"/>
  <c r="N25" i="33"/>
  <c r="O25" i="33" s="1"/>
  <c r="P25" i="33" s="1"/>
  <c r="N26" i="33"/>
  <c r="O26" i="33" s="1"/>
  <c r="P26" i="33" s="1"/>
  <c r="N27" i="33"/>
  <c r="O27" i="33" s="1"/>
  <c r="P27" i="33" s="1"/>
  <c r="N28" i="33"/>
  <c r="O28" i="33" s="1"/>
  <c r="P28" i="33" s="1"/>
  <c r="N29" i="33"/>
  <c r="O29" i="33" s="1"/>
  <c r="P29" i="33" s="1"/>
  <c r="N30" i="33"/>
  <c r="O30" i="33" s="1"/>
  <c r="P30" i="33" s="1"/>
  <c r="N4" i="33"/>
  <c r="O4" i="33" s="1"/>
  <c r="K5" i="33"/>
  <c r="L5" i="33" s="1"/>
  <c r="K6" i="33"/>
  <c r="K7" i="33"/>
  <c r="L7" i="33" s="1"/>
  <c r="K8" i="33"/>
  <c r="L8" i="33" s="1"/>
  <c r="K9" i="33"/>
  <c r="L9" i="33" s="1"/>
  <c r="K10" i="33"/>
  <c r="L10" i="33" s="1"/>
  <c r="K11" i="33"/>
  <c r="L11" i="33" s="1"/>
  <c r="K12" i="33"/>
  <c r="L12" i="33" s="1"/>
  <c r="K15" i="33"/>
  <c r="L15" i="33" s="1"/>
  <c r="K16" i="33"/>
  <c r="L16" i="33" s="1"/>
  <c r="K17" i="33"/>
  <c r="L17" i="33" s="1"/>
  <c r="K18" i="33"/>
  <c r="L18" i="33" s="1"/>
  <c r="K19" i="33"/>
  <c r="L19" i="33" s="1"/>
  <c r="K20" i="33"/>
  <c r="L20" i="33" s="1"/>
  <c r="K21" i="33"/>
  <c r="L21" i="33" s="1"/>
  <c r="K22" i="33"/>
  <c r="L22" i="33" s="1"/>
  <c r="K23" i="33"/>
  <c r="L23" i="33" s="1"/>
  <c r="K24" i="33"/>
  <c r="L24" i="33" s="1"/>
  <c r="K25" i="33"/>
  <c r="L25" i="33" s="1"/>
  <c r="K26" i="33"/>
  <c r="L26" i="33" s="1"/>
  <c r="K27" i="33"/>
  <c r="L27" i="33" s="1"/>
  <c r="K28" i="33"/>
  <c r="L28" i="33" s="1"/>
  <c r="K29" i="33"/>
  <c r="L29" i="33" s="1"/>
  <c r="K30" i="33"/>
  <c r="L30" i="33" s="1"/>
  <c r="K4" i="33"/>
  <c r="L4" i="33" s="1"/>
  <c r="L6" i="33"/>
  <c r="O5" i="33"/>
  <c r="P5" i="33" s="1"/>
  <c r="O29" i="32"/>
  <c r="L28" i="32"/>
  <c r="M28" i="32" s="1"/>
  <c r="N28" i="32" s="1"/>
  <c r="I28" i="32"/>
  <c r="J28" i="32" s="1"/>
  <c r="L27" i="32"/>
  <c r="M27" i="32" s="1"/>
  <c r="N27" i="32" s="1"/>
  <c r="J27" i="32"/>
  <c r="L26" i="32"/>
  <c r="M26" i="32" s="1"/>
  <c r="N26" i="32" s="1"/>
  <c r="J26" i="32"/>
  <c r="L25" i="32"/>
  <c r="M25" i="32" s="1"/>
  <c r="N25" i="32" s="1"/>
  <c r="J25" i="32"/>
  <c r="L24" i="32"/>
  <c r="M24" i="32" s="1"/>
  <c r="N24" i="32" s="1"/>
  <c r="J24" i="32"/>
  <c r="L23" i="32"/>
  <c r="M23" i="32" s="1"/>
  <c r="N23" i="32" s="1"/>
  <c r="J23" i="32"/>
  <c r="L22" i="32"/>
  <c r="M22" i="32" s="1"/>
  <c r="N22" i="32" s="1"/>
  <c r="J22" i="32"/>
  <c r="L21" i="32"/>
  <c r="M21" i="32" s="1"/>
  <c r="N21" i="32" s="1"/>
  <c r="I21" i="32"/>
  <c r="J21" i="32" s="1"/>
  <c r="L20" i="32"/>
  <c r="M20" i="32" s="1"/>
  <c r="N20" i="32" s="1"/>
  <c r="J20" i="32"/>
  <c r="L19" i="32"/>
  <c r="M19" i="32" s="1"/>
  <c r="N19" i="32" s="1"/>
  <c r="J19" i="32"/>
  <c r="N18" i="32"/>
  <c r="L18" i="32"/>
  <c r="J18" i="32"/>
  <c r="L17" i="32"/>
  <c r="M17" i="32" s="1"/>
  <c r="N17" i="32" s="1"/>
  <c r="I17" i="32"/>
  <c r="J17" i="32" s="1"/>
  <c r="L16" i="32"/>
  <c r="M16" i="32" s="1"/>
  <c r="N16" i="32" s="1"/>
  <c r="J16" i="32"/>
  <c r="L15" i="32"/>
  <c r="M15" i="32" s="1"/>
  <c r="N15" i="32" s="1"/>
  <c r="J15" i="32"/>
  <c r="L14" i="32"/>
  <c r="M14" i="32" s="1"/>
  <c r="N14" i="32" s="1"/>
  <c r="J14" i="32"/>
  <c r="L13" i="32"/>
  <c r="M13" i="32" s="1"/>
  <c r="N13" i="32" s="1"/>
  <c r="J13" i="32"/>
  <c r="L12" i="32"/>
  <c r="M12" i="32" s="1"/>
  <c r="N12" i="32" s="1"/>
  <c r="J12" i="32"/>
  <c r="L11" i="32"/>
  <c r="M11" i="32" s="1"/>
  <c r="N11" i="32" s="1"/>
  <c r="J11" i="32"/>
  <c r="L10" i="32"/>
  <c r="M10" i="32" s="1"/>
  <c r="N10" i="32" s="1"/>
  <c r="J10" i="32"/>
  <c r="L9" i="32"/>
  <c r="M9" i="32" s="1"/>
  <c r="N9" i="32" s="1"/>
  <c r="I9" i="32"/>
  <c r="J9" i="32" s="1"/>
  <c r="L8" i="32"/>
  <c r="M8" i="32" s="1"/>
  <c r="N8" i="32" s="1"/>
  <c r="J8" i="32"/>
  <c r="L7" i="32"/>
  <c r="M7" i="32" s="1"/>
  <c r="N7" i="32" s="1"/>
  <c r="J7" i="32"/>
  <c r="L6" i="32"/>
  <c r="M6" i="32" s="1"/>
  <c r="N6" i="32" s="1"/>
  <c r="J6" i="32"/>
  <c r="L5" i="32"/>
  <c r="M5" i="32" s="1"/>
  <c r="N5" i="32" s="1"/>
  <c r="J5" i="32"/>
  <c r="L4" i="32"/>
  <c r="M4" i="32" s="1"/>
  <c r="N4" i="32" s="1"/>
  <c r="J4" i="32"/>
  <c r="L3" i="32"/>
  <c r="M3" i="32" s="1"/>
  <c r="N3" i="32" s="1"/>
  <c r="J3" i="32"/>
  <c r="L2" i="32"/>
  <c r="M2" i="32" s="1"/>
  <c r="J2" i="32"/>
  <c r="O53" i="33" l="1"/>
  <c r="P4" i="33"/>
  <c r="P53" i="33" s="1"/>
  <c r="N2" i="32"/>
  <c r="N29" i="32" s="1"/>
  <c r="M29" i="32"/>
  <c r="F55" i="30" l="1"/>
  <c r="G54" i="30"/>
  <c r="H54" i="30" s="1"/>
  <c r="G53" i="30"/>
  <c r="H53" i="30" s="1"/>
  <c r="G52" i="30"/>
  <c r="H52" i="30" s="1"/>
  <c r="G55" i="30" l="1"/>
  <c r="H55" i="30" s="1"/>
  <c r="F51" i="30"/>
  <c r="G50" i="30"/>
  <c r="H50" i="30" s="1"/>
  <c r="G49" i="30"/>
  <c r="H49" i="30" s="1"/>
  <c r="G48" i="30"/>
  <c r="H48" i="30" s="1"/>
  <c r="G51" i="30" l="1"/>
  <c r="H51" i="30" s="1"/>
  <c r="F47" i="30"/>
  <c r="G46" i="30"/>
  <c r="H46" i="30" s="1"/>
  <c r="G45" i="30"/>
  <c r="H45" i="30" s="1"/>
  <c r="G44" i="30"/>
  <c r="H44" i="30" s="1"/>
  <c r="G47" i="30" l="1"/>
  <c r="H47" i="30" s="1"/>
  <c r="F43" i="30"/>
  <c r="G42" i="30"/>
  <c r="H42" i="30" s="1"/>
  <c r="G41" i="30"/>
  <c r="H41" i="30" s="1"/>
  <c r="G40" i="30"/>
  <c r="H40" i="30" s="1"/>
  <c r="G43" i="30" l="1"/>
  <c r="H43" i="30" s="1"/>
  <c r="F39" i="30"/>
  <c r="G38" i="30"/>
  <c r="H38" i="30" s="1"/>
  <c r="G37" i="30"/>
  <c r="H37" i="30" s="1"/>
  <c r="G36" i="30"/>
  <c r="H36" i="30" s="1"/>
  <c r="G39" i="30" l="1"/>
  <c r="H39" i="30" s="1"/>
  <c r="F35" i="30" l="1"/>
  <c r="G34" i="30"/>
  <c r="H34" i="30" s="1"/>
  <c r="G33" i="30"/>
  <c r="H33" i="30" s="1"/>
  <c r="G32" i="30"/>
  <c r="H32" i="30" s="1"/>
  <c r="G31" i="30"/>
  <c r="H31" i="30" s="1"/>
  <c r="G30" i="30"/>
  <c r="H30" i="30" s="1"/>
  <c r="G35" i="30" l="1"/>
  <c r="H35" i="30" s="1"/>
  <c r="F29" i="30"/>
  <c r="G28" i="30"/>
  <c r="H28" i="30" s="1"/>
  <c r="G27" i="30"/>
  <c r="H27" i="30" s="1"/>
  <c r="G26" i="30"/>
  <c r="H26" i="30" s="1"/>
  <c r="G25" i="30"/>
  <c r="H25" i="30" s="1"/>
  <c r="G24" i="30"/>
  <c r="H24" i="30" s="1"/>
  <c r="F23" i="30"/>
  <c r="G22" i="30"/>
  <c r="H22" i="30" s="1"/>
  <c r="G21" i="30"/>
  <c r="H21" i="30" s="1"/>
  <c r="G20" i="30"/>
  <c r="H20" i="30" s="1"/>
  <c r="G19" i="30"/>
  <c r="H19" i="30" s="1"/>
  <c r="G18" i="30"/>
  <c r="H18" i="30" s="1"/>
  <c r="F17" i="30"/>
  <c r="G16" i="30"/>
  <c r="H16" i="30" s="1"/>
  <c r="G15" i="30"/>
  <c r="H15" i="30" s="1"/>
  <c r="G29" i="30" l="1"/>
  <c r="H29" i="30" s="1"/>
  <c r="G23" i="30"/>
  <c r="H23" i="30" s="1"/>
  <c r="G17" i="30"/>
  <c r="H17" i="30" s="1"/>
  <c r="F14" i="30"/>
  <c r="G13" i="30"/>
  <c r="H13" i="30" s="1"/>
  <c r="G12" i="30"/>
  <c r="H12" i="30" s="1"/>
  <c r="G11" i="30"/>
  <c r="H11" i="30" s="1"/>
  <c r="G10" i="30"/>
  <c r="H10" i="30" s="1"/>
  <c r="G9" i="30"/>
  <c r="H9" i="30" s="1"/>
  <c r="G14" i="30" l="1"/>
  <c r="H14" i="30" s="1"/>
  <c r="G7" i="30"/>
  <c r="H7" i="30" s="1"/>
  <c r="G6" i="30"/>
  <c r="H6" i="30" s="1"/>
  <c r="G4" i="30"/>
  <c r="H4" i="30" s="1"/>
  <c r="G3" i="30"/>
  <c r="H3" i="30" s="1"/>
  <c r="G2" i="30"/>
  <c r="H2" i="30" s="1"/>
  <c r="K35" i="24" l="1"/>
  <c r="L7" i="24"/>
  <c r="F8" i="30"/>
  <c r="F56" i="30" s="1"/>
  <c r="F5" i="30"/>
  <c r="G8" i="30" l="1"/>
  <c r="H8" i="30" s="1"/>
  <c r="G5" i="30"/>
  <c r="H5" i="30" s="1"/>
  <c r="L33" i="24"/>
  <c r="L32" i="23"/>
  <c r="J8" i="24"/>
  <c r="B22" i="24"/>
  <c r="A1" i="29"/>
  <c r="L33" i="28"/>
  <c r="H33" i="28"/>
  <c r="H41" i="28"/>
  <c r="L41" i="28"/>
  <c r="H33" i="27"/>
  <c r="L24" i="27"/>
  <c r="L33" i="27" s="1"/>
  <c r="B22" i="27"/>
  <c r="K35" i="27"/>
  <c r="H41" i="27"/>
  <c r="L41" i="27"/>
  <c r="H33" i="24"/>
  <c r="H32" i="23"/>
  <c r="H40" i="23"/>
  <c r="L40" i="23"/>
  <c r="B2" i="29" l="1"/>
  <c r="D5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USER01</author>
  </authors>
  <commentList>
    <comment ref="E61" authorId="0" shapeId="0" xr:uid="{1AB4E895-4F31-4314-91BE-05B46990369D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今期立替払い累計
</t>
        </r>
      </text>
    </comment>
    <comment ref="F61" authorId="0" shapeId="0" xr:uid="{EEC19B98-7AE4-4A6E-9D0F-E08ED664A510}">
      <text>
        <r>
          <rPr>
            <b/>
            <sz val="9"/>
            <color indexed="81"/>
            <rFont val="MS P ゴシック"/>
            <family val="3"/>
            <charset val="128"/>
          </rPr>
          <t>未収入金残高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USER01</author>
  </authors>
  <commentList>
    <comment ref="L3" authorId="0" shapeId="0" xr:uid="{F3A21816-E12C-4812-B008-58107330E17E}">
      <text>
        <r>
          <rPr>
            <sz val="8"/>
            <color indexed="81"/>
            <rFont val="MS P ゴシック"/>
            <family val="3"/>
            <charset val="128"/>
          </rPr>
          <t>１０円以下切り上げ</t>
        </r>
      </text>
    </comment>
    <comment ref="N3" authorId="0" shapeId="0" xr:uid="{9B3A4D2B-9E94-4831-9E69-5E4E456E8C52}">
      <text>
        <r>
          <rPr>
            <b/>
            <sz val="9"/>
            <color indexed="81"/>
            <rFont val="MS P ゴシック"/>
            <family val="3"/>
            <charset val="128"/>
          </rPr>
          <t>雪印分（＝みちのく負担分）</t>
        </r>
      </text>
    </comment>
    <comment ref="R3" authorId="0" shapeId="0" xr:uid="{64F27D7A-7F5F-44D8-BD8D-9F05A43FEAC8}">
      <text>
        <r>
          <rPr>
            <b/>
            <sz val="9"/>
            <color indexed="81"/>
            <rFont val="MS P ゴシック"/>
            <family val="3"/>
            <charset val="128"/>
          </rPr>
          <t>雪印分の消費税額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USER01</author>
  </authors>
  <commentList>
    <comment ref="K3" authorId="0" shapeId="0" xr:uid="{537C1DBC-D7DA-46DA-A772-2845C3CE5C37}">
      <text>
        <r>
          <rPr>
            <sz val="8"/>
            <color indexed="81"/>
            <rFont val="MS P ゴシック"/>
            <family val="3"/>
            <charset val="128"/>
          </rPr>
          <t>１０円以下切り上げ</t>
        </r>
      </text>
    </comment>
    <comment ref="M3" authorId="0" shapeId="0" xr:uid="{424F8D31-3CB4-4D27-9354-7802D3EA3DCD}">
      <text>
        <r>
          <rPr>
            <b/>
            <sz val="9"/>
            <color indexed="81"/>
            <rFont val="MS P ゴシック"/>
            <family val="3"/>
            <charset val="128"/>
          </rPr>
          <t>雪印分（＝みちのく負担分）</t>
        </r>
      </text>
    </comment>
    <comment ref="Q3" authorId="0" shapeId="0" xr:uid="{A659EA4D-94FA-4E13-8508-C912D5D72956}">
      <text>
        <r>
          <rPr>
            <b/>
            <sz val="9"/>
            <color indexed="81"/>
            <rFont val="MS P ゴシック"/>
            <family val="3"/>
            <charset val="128"/>
          </rPr>
          <t>雪印分の消費税額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USER01</author>
  </authors>
  <commentList>
    <comment ref="K3" authorId="0" shapeId="0" xr:uid="{ACBFE095-328F-4107-A5FF-419ABF51DBB9}">
      <text>
        <r>
          <rPr>
            <sz val="8"/>
            <color indexed="81"/>
            <rFont val="MS P ゴシック"/>
            <family val="3"/>
            <charset val="128"/>
          </rPr>
          <t>１０円以下切り上げ</t>
        </r>
      </text>
    </comment>
    <comment ref="M3" authorId="0" shapeId="0" xr:uid="{A41FFC3C-DA8B-4FB4-BEE6-C688260B3965}">
      <text>
        <r>
          <rPr>
            <b/>
            <sz val="9"/>
            <color indexed="81"/>
            <rFont val="MS P ゴシック"/>
            <family val="3"/>
            <charset val="128"/>
          </rPr>
          <t>雪印分（＝みちのく負担分）</t>
        </r>
      </text>
    </comment>
    <comment ref="Q3" authorId="0" shapeId="0" xr:uid="{D9A32989-A027-43A9-AAD7-72F4B7A8B632}">
      <text>
        <r>
          <rPr>
            <b/>
            <sz val="9"/>
            <color indexed="81"/>
            <rFont val="MS P ゴシック"/>
            <family val="3"/>
            <charset val="128"/>
          </rPr>
          <t>雪印分の消費税額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USER01</author>
  </authors>
  <commentList>
    <comment ref="K3" authorId="0" shapeId="0" xr:uid="{1018CAFA-CF98-4FCE-AE8C-6FC3F582EDA2}">
      <text>
        <r>
          <rPr>
            <sz val="8"/>
            <color indexed="81"/>
            <rFont val="MS P ゴシック"/>
            <family val="3"/>
            <charset val="128"/>
          </rPr>
          <t>１０円以下切り上げ</t>
        </r>
      </text>
    </comment>
    <comment ref="M3" authorId="0" shapeId="0" xr:uid="{ACD3DA1C-904F-4012-BEB3-71E306050116}">
      <text>
        <r>
          <rPr>
            <b/>
            <sz val="9"/>
            <color indexed="81"/>
            <rFont val="MS P ゴシック"/>
            <family val="3"/>
            <charset val="128"/>
          </rPr>
          <t>雪印分（＝みちのく負担分）</t>
        </r>
      </text>
    </comment>
    <comment ref="Q3" authorId="0" shapeId="0" xr:uid="{B9D81332-3B4D-4CCA-B96A-4B8F71D5F35D}">
      <text>
        <r>
          <rPr>
            <b/>
            <sz val="9"/>
            <color indexed="81"/>
            <rFont val="MS P ゴシック"/>
            <family val="3"/>
            <charset val="128"/>
          </rPr>
          <t>雪印分の消費税額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USER01</author>
  </authors>
  <commentList>
    <comment ref="K3" authorId="0" shapeId="0" xr:uid="{F156B8BB-C488-415A-9D67-F769699BD867}">
      <text>
        <r>
          <rPr>
            <sz val="8"/>
            <color indexed="81"/>
            <rFont val="MS P ゴシック"/>
            <family val="3"/>
            <charset val="128"/>
          </rPr>
          <t>１０円以下切り上げ</t>
        </r>
      </text>
    </comment>
    <comment ref="M3" authorId="0" shapeId="0" xr:uid="{FCBCD3C5-0A02-44EC-B9BC-B012B8A92946}">
      <text>
        <r>
          <rPr>
            <b/>
            <sz val="9"/>
            <color indexed="81"/>
            <rFont val="MS P ゴシック"/>
            <family val="3"/>
            <charset val="128"/>
          </rPr>
          <t>雪印分（＝みちのく負担分）</t>
        </r>
      </text>
    </comment>
    <comment ref="Q3" authorId="0" shapeId="0" xr:uid="{16EFC93F-427D-492D-9019-75DC5BA5FC58}">
      <text>
        <r>
          <rPr>
            <b/>
            <sz val="9"/>
            <color indexed="81"/>
            <rFont val="MS P ゴシック"/>
            <family val="3"/>
            <charset val="128"/>
          </rPr>
          <t>雪印分の消費税額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USER01</author>
  </authors>
  <commentList>
    <comment ref="I1" authorId="0" shapeId="0" xr:uid="{BF7A5EF9-3600-4D1F-AB15-0B6D9AC8E116}">
      <text>
        <r>
          <rPr>
            <sz val="8"/>
            <color indexed="81"/>
            <rFont val="MS P ゴシック"/>
            <family val="3"/>
            <charset val="128"/>
          </rPr>
          <t>１０円以下切り上げ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USER01</author>
  </authors>
  <commentList>
    <comment ref="G1" authorId="0" shapeId="0" xr:uid="{6D6D80A4-4007-4746-9562-EADD054C53C6}">
      <text>
        <r>
          <rPr>
            <sz val="8"/>
            <color indexed="81"/>
            <rFont val="MS P ゴシック"/>
            <family val="3"/>
            <charset val="128"/>
          </rPr>
          <t>１０円以下切り上げ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0D0D45-8D7E-4AE6-838A-A77348DCA74A}" name="MICHINOK からのクエリ" type="1" refreshedVersion="8" savePassword="1" background="1" saveData="1">
    <dbPr connection="DSN=MICHINOK;UID=MICHINOK;PWD=MICHINOK;DBQ=MICHINOK;DBA=W;APA=T;EXC=F;FEN=T;QTO=T;FRC=10;FDL=10;LOB=T;RST=T;BTD=F;BNF=F;BAM=IfAllSuccessful;NUM=NLS;DPM=F;MTS=T;MDI=F;CSR=F;FWC=F;FBS=64000;TLO=O;MLD=0;ODA=F;STE=F;TSZ=8192;AST=FLOAT;" command="SELECT TRN_TUKAN_H.TUKAN_DATE, TRN_TUKAN_H.GENRYO_CODE, TRN_GNYK_B.SYOYUSYA_CODE, TRN_TUKAN_H.TUKAN_NUM, TRN_TUKAN_H.SURY, TRN_TUKAN_H.TUKAN_KING_x000d__x000a_FROM MICHINOK.TRN_GNYK_B TRN_GNYK_B, MICHINOK.TRN_TUKAN_H TRN_TUKAN_H_x000d__x000a_WHERE TRN_GNYK_B.TUKAN_NUM = TRN_TUKAN_H.TUKAN_NUM AND ((TRN_TUKAN_H.TUKAN_DATE&gt;=?) AND (TRN_TUKAN_H.GENRYO_CODE&lt;&gt;1040))"/>
    <parameters count="1">
      <parameter name="日付" sqlType="12" parameterType="cell" cell="データ!$C$1"/>
    </parameters>
  </connection>
</connections>
</file>

<file path=xl/sharedStrings.xml><?xml version="1.0" encoding="utf-8"?>
<sst xmlns="http://schemas.openxmlformats.org/spreadsheetml/2006/main" count="1486" uniqueCount="150">
  <si>
    <t>数量</t>
    <rPh sb="0" eb="2">
      <t>スウリョウ</t>
    </rPh>
    <phoneticPr fontId="1"/>
  </si>
  <si>
    <t>請　　　求　　　書</t>
    <rPh sb="0" eb="1">
      <t>ショウ</t>
    </rPh>
    <rPh sb="4" eb="5">
      <t>モトム</t>
    </rPh>
    <rPh sb="8" eb="9">
      <t>ショ</t>
    </rPh>
    <phoneticPr fontId="1"/>
  </si>
  <si>
    <t>御中</t>
    <rPh sb="0" eb="2">
      <t>オンチュウ</t>
    </rPh>
    <phoneticPr fontId="1"/>
  </si>
  <si>
    <t>下記の通り御請求申し上げます</t>
    <rPh sb="0" eb="2">
      <t>カキ</t>
    </rPh>
    <rPh sb="3" eb="4">
      <t>トオ</t>
    </rPh>
    <rPh sb="5" eb="8">
      <t>ゴセイキュウ</t>
    </rPh>
    <rPh sb="8" eb="11">
      <t>モウシア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</si>
  <si>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</si>
  <si>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</si>
  <si>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品       名</t>
    <rPh sb="0" eb="9">
      <t>ヒンメイ</t>
    </rPh>
    <phoneticPr fontId="1"/>
  </si>
  <si>
    <t>　　　　　　合　　　　　　　　計</t>
    <phoneticPr fontId="1"/>
  </si>
  <si>
    <t>日清丸紅飼料株式会社</t>
    <rPh sb="0" eb="10">
      <t>ニッシン</t>
    </rPh>
    <phoneticPr fontId="1"/>
  </si>
  <si>
    <t>日和産業株式会社　八戸工場</t>
    <rPh sb="0" eb="2">
      <t>ニチワ</t>
    </rPh>
    <rPh sb="2" eb="4">
      <t>サンギョウ</t>
    </rPh>
    <rPh sb="4" eb="6">
      <t>カブシキ</t>
    </rPh>
    <rPh sb="6" eb="8">
      <t>カイシャ</t>
    </rPh>
    <rPh sb="9" eb="11">
      <t>ハチノヘ</t>
    </rPh>
    <rPh sb="11" eb="13">
      <t>コウジョウ</t>
    </rPh>
    <phoneticPr fontId="1"/>
  </si>
  <si>
    <t>v</t>
    <phoneticPr fontId="1"/>
  </si>
  <si>
    <t>雪印種苗株式会社</t>
    <rPh sb="0" eb="2">
      <t>ユキジルシ</t>
    </rPh>
    <rPh sb="2" eb="4">
      <t>シュビョウ</t>
    </rPh>
    <rPh sb="4" eb="8">
      <t>カブ</t>
    </rPh>
    <phoneticPr fontId="1"/>
  </si>
  <si>
    <t>区分</t>
    <rPh sb="0" eb="2">
      <t>クブン</t>
    </rPh>
    <phoneticPr fontId="1"/>
  </si>
  <si>
    <t>メイズ</t>
    <phoneticPr fontId="1"/>
  </si>
  <si>
    <t>総量（kg）</t>
    <rPh sb="0" eb="2">
      <t>ソウリョウ</t>
    </rPh>
    <phoneticPr fontId="1"/>
  </si>
  <si>
    <t>金　額（円）</t>
    <rPh sb="0" eb="1">
      <t>キン</t>
    </rPh>
    <rPh sb="2" eb="3">
      <t>ガク</t>
    </rPh>
    <rPh sb="4" eb="5">
      <t>エン</t>
    </rPh>
    <phoneticPr fontId="1"/>
  </si>
  <si>
    <t>単　価</t>
    <rPh sb="0" eb="1">
      <t>タン</t>
    </rPh>
    <rPh sb="2" eb="3">
      <t>アタイ</t>
    </rPh>
    <phoneticPr fontId="1"/>
  </si>
  <si>
    <t>輸入品消費税</t>
    <rPh sb="0" eb="2">
      <t>ユニュウ</t>
    </rPh>
    <rPh sb="2" eb="3">
      <t>ヒン</t>
    </rPh>
    <rPh sb="3" eb="6">
      <t>ショウヒゼイ</t>
    </rPh>
    <phoneticPr fontId="1"/>
  </si>
  <si>
    <t>kg</t>
    <phoneticPr fontId="1"/>
  </si>
  <si>
    <t>NO.</t>
    <phoneticPr fontId="1"/>
  </si>
  <si>
    <t>ＳＵＮＮＹ　GLOBE　　　　　　 (通関No.81048983140)</t>
    <rPh sb="19" eb="21">
      <t>ツウカン</t>
    </rPh>
    <phoneticPr fontId="1"/>
  </si>
  <si>
    <t>kg</t>
    <phoneticPr fontId="1"/>
  </si>
  <si>
    <t>TEL</t>
    <phoneticPr fontId="1"/>
  </si>
  <si>
    <t>(0178)21-3353(代表)</t>
  </si>
  <si>
    <t>FAX</t>
    <phoneticPr fontId="1"/>
  </si>
  <si>
    <t>(0178)29-1300</t>
    <phoneticPr fontId="1"/>
  </si>
  <si>
    <t>TEL</t>
    <phoneticPr fontId="1"/>
  </si>
  <si>
    <t>FAX</t>
    <phoneticPr fontId="1"/>
  </si>
  <si>
    <t>(0178)29-1300</t>
    <phoneticPr fontId="1"/>
  </si>
  <si>
    <t>延長後の納期限：</t>
    <rPh sb="0" eb="2">
      <t>エンチョウ</t>
    </rPh>
    <rPh sb="2" eb="3">
      <t>ゴ</t>
    </rPh>
    <rPh sb="4" eb="6">
      <t>ノウキ</t>
    </rPh>
    <rPh sb="6" eb="7">
      <t>ゲン</t>
    </rPh>
    <phoneticPr fontId="1"/>
  </si>
  <si>
    <t>SUNNY GLOBE　　　　　  　　　　
（通関No.81079780010）</t>
    <rPh sb="24" eb="26">
      <t>ツウカン</t>
    </rPh>
    <phoneticPr fontId="1"/>
  </si>
  <si>
    <t>TEL</t>
    <phoneticPr fontId="1"/>
  </si>
  <si>
    <t>FAX</t>
    <phoneticPr fontId="1"/>
  </si>
  <si>
    <t>(0178)29-1300</t>
    <phoneticPr fontId="1"/>
  </si>
  <si>
    <t>メイズ</t>
    <phoneticPr fontId="1"/>
  </si>
  <si>
    <t>　　　　　　合　　　　　　　　計</t>
    <phoneticPr fontId="1"/>
  </si>
  <si>
    <t>kg</t>
    <phoneticPr fontId="1"/>
  </si>
  <si>
    <t>v</t>
    <phoneticPr fontId="1"/>
  </si>
  <si>
    <t>TEL</t>
    <phoneticPr fontId="1"/>
  </si>
  <si>
    <t>FAX</t>
    <phoneticPr fontId="1"/>
  </si>
  <si>
    <t>(0178)29-1300</t>
    <phoneticPr fontId="1"/>
  </si>
  <si>
    <t>9月分</t>
    <rPh sb="1" eb="3">
      <t>ガツブン</t>
    </rPh>
    <phoneticPr fontId="1"/>
  </si>
  <si>
    <t>延長後の納期限：</t>
    <rPh sb="0" eb="2">
      <t>エンチョウ</t>
    </rPh>
    <rPh sb="2" eb="3">
      <t>ゴ</t>
    </rPh>
    <rPh sb="4" eb="5">
      <t>オサム</t>
    </rPh>
    <rPh sb="5" eb="6">
      <t>キ</t>
    </rPh>
    <rPh sb="6" eb="7">
      <t>ゲン</t>
    </rPh>
    <phoneticPr fontId="1"/>
  </si>
  <si>
    <t>取引銀行　みちのく銀行八戸営業部(普)2005721</t>
  </si>
  <si>
    <t>down</t>
    <phoneticPr fontId="1"/>
  </si>
  <si>
    <t>3月分</t>
    <rPh sb="1" eb="3">
      <t>ガツブン</t>
    </rPh>
    <phoneticPr fontId="1"/>
  </si>
  <si>
    <t>24/8月</t>
    <rPh sb="4" eb="5">
      <t>ガツ</t>
    </rPh>
    <phoneticPr fontId="1"/>
  </si>
  <si>
    <t>メイズ</t>
  </si>
  <si>
    <t>大麦</t>
    <rPh sb="0" eb="2">
      <t>オオムギ</t>
    </rPh>
    <phoneticPr fontId="1"/>
  </si>
  <si>
    <t>対象年月日</t>
    <rPh sb="0" eb="5">
      <t>タイショウネンガッピ</t>
    </rPh>
    <phoneticPr fontId="1"/>
  </si>
  <si>
    <t>原料名</t>
    <rPh sb="0" eb="2">
      <t>ゲンリョウ</t>
    </rPh>
    <rPh sb="2" eb="3">
      <t>メイ</t>
    </rPh>
    <phoneticPr fontId="1"/>
  </si>
  <si>
    <t>通関NO</t>
    <rPh sb="0" eb="2">
      <t>ツウカン</t>
    </rPh>
    <phoneticPr fontId="1"/>
  </si>
  <si>
    <t>消費税額</t>
    <rPh sb="0" eb="3">
      <t>ショウヒゼイ</t>
    </rPh>
    <rPh sb="3" eb="4">
      <t>ガク</t>
    </rPh>
    <phoneticPr fontId="1"/>
  </si>
  <si>
    <t>メイズ</t>
    <phoneticPr fontId="1"/>
  </si>
  <si>
    <t>対象年月</t>
    <rPh sb="0" eb="2">
      <t>タイショウ</t>
    </rPh>
    <rPh sb="2" eb="4">
      <t>ネンゲツ</t>
    </rPh>
    <phoneticPr fontId="1"/>
  </si>
  <si>
    <t>①消費税
（78.75％）</t>
    <rPh sb="1" eb="4">
      <t>ショウヒゼイ</t>
    </rPh>
    <phoneticPr fontId="1"/>
  </si>
  <si>
    <t>②地方消費税
（21.25％）</t>
    <rPh sb="1" eb="6">
      <t>チホウショウヒゼイ</t>
    </rPh>
    <phoneticPr fontId="1"/>
  </si>
  <si>
    <t>数量（ｔ）</t>
    <rPh sb="0" eb="2">
      <t>スウリョウ</t>
    </rPh>
    <phoneticPr fontId="1"/>
  </si>
  <si>
    <t>月計</t>
    <rPh sb="0" eb="1">
      <t>ツキ</t>
    </rPh>
    <rPh sb="1" eb="2">
      <t>ケイ</t>
    </rPh>
    <phoneticPr fontId="1"/>
  </si>
  <si>
    <t>←仮払い消費税（雪印）月計を入力してください</t>
    <rPh sb="1" eb="3">
      <t>カリバラ</t>
    </rPh>
    <rPh sb="4" eb="7">
      <t>ショウヒゼイ</t>
    </rPh>
    <rPh sb="8" eb="10">
      <t>ユキジルシ</t>
    </rPh>
    <rPh sb="11" eb="12">
      <t>ツキ</t>
    </rPh>
    <rPh sb="12" eb="13">
      <t>ケイ</t>
    </rPh>
    <rPh sb="14" eb="16">
      <t>ニュウリョク</t>
    </rPh>
    <phoneticPr fontId="1"/>
  </si>
  <si>
    <t>⇐　No　請求書明細.ｘｌｓ　より</t>
    <rPh sb="5" eb="8">
      <t>セイキュウショ</t>
    </rPh>
    <rPh sb="8" eb="10">
      <t>メイサイ</t>
    </rPh>
    <phoneticPr fontId="1"/>
  </si>
  <si>
    <t>⇐　対象月の末日</t>
    <rPh sb="2" eb="4">
      <t>タイショウ</t>
    </rPh>
    <rPh sb="4" eb="5">
      <t>ゲツ</t>
    </rPh>
    <rPh sb="6" eb="8">
      <t>マツジツ</t>
    </rPh>
    <rPh sb="7" eb="8">
      <t>ジツ</t>
    </rPh>
    <phoneticPr fontId="1"/>
  </si>
  <si>
    <t>⇐　請求日から３か月後の月末（休日の時は翌営業日）</t>
    <rPh sb="2" eb="4">
      <t>セイキュウ</t>
    </rPh>
    <rPh sb="4" eb="5">
      <t>ビ</t>
    </rPh>
    <rPh sb="9" eb="10">
      <t>ゲツ</t>
    </rPh>
    <rPh sb="10" eb="11">
      <t>ゴ</t>
    </rPh>
    <rPh sb="12" eb="14">
      <t>ゲツマツ</t>
    </rPh>
    <rPh sb="15" eb="17">
      <t>キュウジツ</t>
    </rPh>
    <rPh sb="18" eb="19">
      <t>トキ</t>
    </rPh>
    <rPh sb="20" eb="21">
      <t>ヨク</t>
    </rPh>
    <rPh sb="21" eb="24">
      <t>エイギョウビ</t>
    </rPh>
    <phoneticPr fontId="1"/>
  </si>
  <si>
    <t>←輸入品消費税　担保残高.xls　で月合計を確認してください</t>
    <rPh sb="1" eb="7">
      <t>ユニュウヒンショウヒゼイ</t>
    </rPh>
    <rPh sb="8" eb="10">
      <t>タンポ</t>
    </rPh>
    <rPh sb="10" eb="12">
      <t>ザンダカ</t>
    </rPh>
    <rPh sb="18" eb="19">
      <t>ツキ</t>
    </rPh>
    <rPh sb="19" eb="21">
      <t>ゴウケイ</t>
    </rPh>
    <rPh sb="22" eb="24">
      <t>カクニン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</si>
  <si>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</si>
  <si>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</si>
  <si>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4月</t>
    <rPh sb="1" eb="2">
      <t>ガツ</t>
    </rPh>
    <phoneticPr fontId="1"/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</si>
  <si>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</si>
  <si>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</si>
  <si>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</si>
  <si>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</si>
  <si>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</si>
  <si>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</si>
  <si>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</si>
  <si>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</si>
  <si>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</si>
  <si>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未払金残高</t>
    <rPh sb="0" eb="2">
      <t>ミバライ</t>
    </rPh>
    <rPh sb="2" eb="3">
      <t>キン</t>
    </rPh>
    <rPh sb="3" eb="5">
      <t>ザンダカ</t>
    </rPh>
    <phoneticPr fontId="1"/>
  </si>
  <si>
    <t>全体数量
（MT）</t>
    <rPh sb="0" eb="2">
      <t>ゼンタイ</t>
    </rPh>
    <rPh sb="2" eb="4">
      <t>スウリョウ</t>
    </rPh>
    <phoneticPr fontId="1"/>
  </si>
  <si>
    <t>A
申告価格</t>
    <rPh sb="2" eb="4">
      <t>シンコク</t>
    </rPh>
    <rPh sb="4" eb="6">
      <t>カカク</t>
    </rPh>
    <phoneticPr fontId="1"/>
  </si>
  <si>
    <t>A
消費税額</t>
    <rPh sb="2" eb="5">
      <t>ショウヒゼイ</t>
    </rPh>
    <rPh sb="5" eb="6">
      <t>ガク</t>
    </rPh>
    <phoneticPr fontId="1"/>
  </si>
  <si>
    <t>①消費税
（7.8％）</t>
    <rPh sb="1" eb="4">
      <t>ショウヒゼイ</t>
    </rPh>
    <phoneticPr fontId="1"/>
  </si>
  <si>
    <t>②地方消費税
（22/78）</t>
    <rPh sb="1" eb="6">
      <t>チホウショウヒゼイ</t>
    </rPh>
    <phoneticPr fontId="1"/>
  </si>
  <si>
    <t>B負担分
数量
（MT）</t>
    <rPh sb="1" eb="3">
      <t>フタン</t>
    </rPh>
    <rPh sb="3" eb="4">
      <t>ブン</t>
    </rPh>
    <rPh sb="5" eb="7">
      <t>スウリョウ</t>
    </rPh>
    <phoneticPr fontId="1"/>
  </si>
  <si>
    <t>負担分の
申告価格
割り返し</t>
    <rPh sb="0" eb="3">
      <t>フタンブン</t>
    </rPh>
    <rPh sb="5" eb="9">
      <t>シンコクカカク</t>
    </rPh>
    <rPh sb="10" eb="11">
      <t>ワ</t>
    </rPh>
    <rPh sb="12" eb="13">
      <t>カエ</t>
    </rPh>
    <phoneticPr fontId="1"/>
  </si>
  <si>
    <t>消費税
負担額</t>
    <rPh sb="0" eb="3">
      <t>ショウヒゼイ</t>
    </rPh>
    <rPh sb="4" eb="7">
      <t>フタンガク</t>
    </rPh>
    <phoneticPr fontId="1"/>
  </si>
  <si>
    <t>通関年月日</t>
    <rPh sb="0" eb="2">
      <t>ツウカン</t>
    </rPh>
    <rPh sb="2" eb="5">
      <t>ネンガッピ</t>
    </rPh>
    <phoneticPr fontId="1"/>
  </si>
  <si>
    <t xml:space="preserve">
申告価格</t>
    <rPh sb="1" eb="3">
      <t>シンコク</t>
    </rPh>
    <rPh sb="3" eb="5">
      <t>カカク</t>
    </rPh>
    <phoneticPr fontId="1"/>
  </si>
  <si>
    <t xml:space="preserve">
消費税額</t>
    <rPh sb="1" eb="4">
      <t>ショウヒゼイ</t>
    </rPh>
    <rPh sb="4" eb="5">
      <t>ガク</t>
    </rPh>
    <phoneticPr fontId="1"/>
  </si>
  <si>
    <t>D関税</t>
    <rPh sb="1" eb="3">
      <t>カンゼイ</t>
    </rPh>
    <phoneticPr fontId="1"/>
  </si>
  <si>
    <t>F消費税
（7.8％）</t>
    <rPh sb="1" eb="4">
      <t>ショウヒゼイ</t>
    </rPh>
    <phoneticPr fontId="1"/>
  </si>
  <si>
    <t>A地方消費税
（22/78）</t>
    <rPh sb="1" eb="6">
      <t>チホウショウヒゼイ</t>
    </rPh>
    <phoneticPr fontId="1"/>
  </si>
  <si>
    <t>大麦</t>
    <rPh sb="0" eb="2">
      <t>オオムギ</t>
    </rPh>
    <phoneticPr fontId="1"/>
  </si>
  <si>
    <t>メイズ</t>
    <phoneticPr fontId="1"/>
  </si>
  <si>
    <t>消費税計算用
（100円以下切捨て）</t>
    <rPh sb="0" eb="3">
      <t>ショウヒゼイ</t>
    </rPh>
    <rPh sb="3" eb="6">
      <t>ケイサンヨウ</t>
    </rPh>
    <rPh sb="11" eb="12">
      <t>エン</t>
    </rPh>
    <rPh sb="12" eb="14">
      <t>イカ</t>
    </rPh>
    <rPh sb="14" eb="16">
      <t>キリス</t>
    </rPh>
    <phoneticPr fontId="1"/>
  </si>
  <si>
    <t>単価/ｔ</t>
    <rPh sb="0" eb="2">
      <t>タンカ</t>
    </rPh>
    <phoneticPr fontId="1"/>
  </si>
  <si>
    <t>支払い期限</t>
    <rPh sb="0" eb="2">
      <t>シハラ</t>
    </rPh>
    <rPh sb="3" eb="5">
      <t>キゲン</t>
    </rPh>
    <phoneticPr fontId="1"/>
  </si>
  <si>
    <t>仮払い消費税</t>
    <rPh sb="0" eb="2">
      <t>カリバラ</t>
    </rPh>
    <rPh sb="3" eb="6">
      <t>ショウヒゼイ</t>
    </rPh>
    <phoneticPr fontId="1"/>
  </si>
  <si>
    <t>未収入金</t>
    <rPh sb="0" eb="4">
      <t>ミシュウニュウキン</t>
    </rPh>
    <phoneticPr fontId="1"/>
  </si>
  <si>
    <t>支払い日</t>
    <rPh sb="0" eb="2">
      <t>シハラ</t>
    </rPh>
    <rPh sb="3" eb="4">
      <t>ビ</t>
    </rPh>
    <phoneticPr fontId="1"/>
  </si>
  <si>
    <t>メイズ</t>
    <phoneticPr fontId="1"/>
  </si>
  <si>
    <t>4月</t>
    <rPh sb="1" eb="2">
      <t>ガツ</t>
    </rPh>
    <phoneticPr fontId="1"/>
  </si>
  <si>
    <t>大麦</t>
    <rPh sb="0" eb="2">
      <t>オオムギ</t>
    </rPh>
    <phoneticPr fontId="1"/>
  </si>
  <si>
    <t>5月</t>
    <rPh sb="1" eb="2">
      <t>ガツ</t>
    </rPh>
    <phoneticPr fontId="1"/>
  </si>
  <si>
    <t>6月</t>
  </si>
  <si>
    <t>大麦</t>
    <rPh sb="0" eb="2">
      <t>オオムギ</t>
    </rPh>
    <phoneticPr fontId="1"/>
  </si>
  <si>
    <t>11月</t>
    <rPh sb="2" eb="3">
      <t>ガツ</t>
    </rPh>
    <phoneticPr fontId="1"/>
  </si>
  <si>
    <t>12月</t>
    <phoneticPr fontId="1"/>
  </si>
  <si>
    <t>4月</t>
  </si>
  <si>
    <t>GRACE</t>
    <phoneticPr fontId="1"/>
  </si>
  <si>
    <t>NEW NOBLE</t>
    <phoneticPr fontId="1"/>
  </si>
  <si>
    <t>SAUVAN</t>
    <phoneticPr fontId="1"/>
  </si>
  <si>
    <t>RUBY　CONFIDENCE</t>
    <phoneticPr fontId="1"/>
  </si>
  <si>
    <t>9月</t>
    <phoneticPr fontId="1"/>
  </si>
  <si>
    <t>取引銀行　青森みちのく銀行八戸中央支店(普)2005721</t>
    <rPh sb="5" eb="7">
      <t>アオモリ</t>
    </rPh>
    <rPh sb="15" eb="17">
      <t>チュウオウ</t>
    </rPh>
    <rPh sb="17" eb="19">
      <t>シテン</t>
    </rPh>
    <phoneticPr fontId="1"/>
  </si>
  <si>
    <t>＊1</t>
    <phoneticPr fontId="1"/>
  </si>
  <si>
    <t>＊1の修正申告</t>
    <rPh sb="3" eb="5">
      <t>シュウセイ</t>
    </rPh>
    <rPh sb="5" eb="7">
      <t>シンコク</t>
    </rPh>
    <phoneticPr fontId="1"/>
  </si>
  <si>
    <t>大麦</t>
    <rPh sb="0" eb="2">
      <t>オオムギ</t>
    </rPh>
    <phoneticPr fontId="1"/>
  </si>
  <si>
    <t>7月</t>
    <phoneticPr fontId="1"/>
  </si>
  <si>
    <t>8月分</t>
    <rPh sb="1" eb="2">
      <t>ガツ</t>
    </rPh>
    <rPh sb="2" eb="3">
      <t>ブン</t>
    </rPh>
    <phoneticPr fontId="1"/>
  </si>
  <si>
    <t>INDIGO SW
(通関No.81203721200 ）</t>
    <phoneticPr fontId="1"/>
  </si>
  <si>
    <t>BESKIDY
(通関No.81203863040 ）</t>
  </si>
  <si>
    <t>BESKIDY
(通関No.81203863040 ）</t>
    <phoneticPr fontId="1"/>
  </si>
  <si>
    <t>INDIGO SW
(通関No.81203687010 ）</t>
    <phoneticPr fontId="1"/>
  </si>
  <si>
    <t>TUKAN_DATE</t>
  </si>
  <si>
    <t>TUKAN_NUM</t>
  </si>
  <si>
    <t>SYOYUSYA_CODE</t>
  </si>
  <si>
    <t>SURY</t>
  </si>
  <si>
    <t>TUKAN_KING</t>
  </si>
  <si>
    <t>81203863040</t>
  </si>
  <si>
    <t>81203687010</t>
  </si>
  <si>
    <t>81203653410</t>
  </si>
  <si>
    <t>GENRYO_CODE</t>
  </si>
  <si>
    <t>81201517600</t>
  </si>
  <si>
    <t>81201793250</t>
  </si>
  <si>
    <t>81202223160</t>
  </si>
  <si>
    <t>81202182930</t>
  </si>
  <si>
    <t>81202307860</t>
  </si>
  <si>
    <t>81202639000</t>
  </si>
  <si>
    <t>81202213510</t>
  </si>
  <si>
    <t>81202932150</t>
  </si>
  <si>
    <t>81203371750</t>
  </si>
  <si>
    <t>81202301710</t>
  </si>
  <si>
    <t>81202301820</t>
  </si>
  <si>
    <t>81202568520</t>
  </si>
  <si>
    <t>81201516750</t>
  </si>
  <si>
    <t>81202285940</t>
  </si>
  <si>
    <t>列1</t>
    <phoneticPr fontId="1"/>
  </si>
  <si>
    <t>列2</t>
  </si>
  <si>
    <t>=IF(C3=C2,"",COUNTIF(G3,1000)+COUNTIF(G3,2000))</t>
    <phoneticPr fontId="1"/>
  </si>
  <si>
    <t>=IF(H3=0,"",IF(C3=C2,"",SUM($H$3:H3)))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</si>
</sst>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¥&quot;#,##0;&quot;¥&quot;\-#,##0"/>
    <numFmt numFmtId="176" formatCode="[$-411]g/&quot;標&quot;&quot;準&quot;"/>
    <numFmt numFmtId="177" formatCode="#,###"/>
    <numFmt numFmtId="178" formatCode="#,###.0"/>
    <numFmt numFmtId="179" formatCode="#,##0.0"/>
    <numFmt numFmtId="180" formatCode="[DBNum3][$-411]#,##0"/>
    <numFmt numFmtId="181" formatCode="[$-411]ggge&quot;年&quot;m&quot;月&quot;d&quot;日&quot;;@"/>
    <numFmt numFmtId="182" formatCode="0&quot;月&quot;&quot;分&quot;"/>
    <numFmt numFmtId="183" formatCode="0_);[Red]\(0\)"/>
    <numFmt numFmtId="184" formatCode="[$-F800]dddd\,\ mmmm\ dd\,\ yyyy"/>
    <numFmt numFmtId="185" formatCode="&quot;¥&quot;#,##0_);[Red]\(&quot;¥&quot;#,##0\)"/>
    <numFmt numFmtId="186" formatCode="yyyy\-mm\-dd;@"/>
  </numFmts>
  <fonts count="42">
    <font>
      <sz val="12"/>
      <name val="System"/>
      <charset val="128"/>
    </font>
    <font>
      <sz val="6"/>
      <name val="System"/>
      <charset val="128"/>
    </font>
    <font>
      <sz val="12"/>
      <name val="ＭＳ Ｐ明朝"/>
      <family val="1"/>
      <charset val="128"/>
    </font>
    <font>
      <b/>
      <sz val="18"/>
      <name val="ＭＳ Ｐ明朝"/>
      <family val="1"/>
      <charset val="128"/>
    </font>
    <font>
      <sz val="14"/>
      <name val="ＭＳ Ｐ明朝"/>
      <family val="1"/>
      <charset val="128"/>
    </font>
    <font>
      <sz val="11"/>
      <name val="ＭＳ Ｐ明朝"/>
      <family val="1"/>
      <charset val="128"/>
    </font>
    <font>
      <sz val="11"/>
      <name val="System"/>
      <charset val="128"/>
    </font>
    <font>
      <sz val="8"/>
      <name val="ＭＳ Ｐ明朝"/>
      <family val="1"/>
      <charset val="128"/>
    </font>
    <font>
      <sz val="14"/>
      <name val="ＤＦＰ極太明朝体"/>
      <family val="1"/>
      <charset val="128"/>
    </font>
    <font>
      <sz val="12"/>
      <name val="ＤＦＰ極太明朝体"/>
      <family val="1"/>
      <charset val="128"/>
    </font>
    <font>
      <b/>
      <sz val="14"/>
      <name val="ＤＦＰ極太明朝体"/>
      <family val="1"/>
      <charset val="128"/>
    </font>
    <font>
      <sz val="13"/>
      <name val="ＤＦＰ極太明朝体"/>
      <family val="1"/>
      <charset val="128"/>
    </font>
    <font>
      <sz val="16"/>
      <name val="ＤＦＰ極太明朝体"/>
      <family val="1"/>
      <charset val="128"/>
    </font>
    <font>
      <sz val="10"/>
      <name val="ＤＦＰ極太明朝体"/>
      <family val="1"/>
      <charset val="128"/>
    </font>
    <font>
      <sz val="11"/>
      <name val="ＤＦＰ極太明朝体"/>
      <family val="1"/>
      <charset val="128"/>
    </font>
    <font>
      <sz val="9"/>
      <name val="ＤＦＰ極太明朝体"/>
      <family val="1"/>
      <charset val="128"/>
    </font>
    <font>
      <u val="double"/>
      <sz val="18"/>
      <name val="ＤＦＰ極太明朝体"/>
      <family val="1"/>
      <charset val="128"/>
    </font>
    <font>
      <u val="double"/>
      <sz val="19"/>
      <name val="ＤＦＰ極太明朝体"/>
      <family val="1"/>
      <charset val="128"/>
    </font>
    <font>
      <sz val="12"/>
      <name val="ＭＳ Ｐゴシック"/>
      <family val="3"/>
      <charset val="128"/>
    </font>
    <font>
      <sz val="20"/>
      <name val="HGP創英角ｺﾞｼｯｸUB"/>
      <family val="3"/>
      <charset val="128"/>
    </font>
    <font>
      <sz val="12"/>
      <name val="System"/>
      <charset val="128"/>
    </font>
    <font>
      <sz val="8"/>
      <color indexed="81"/>
      <name val="MS P ゴシック"/>
      <family val="3"/>
      <charset val="128"/>
    </font>
    <font>
      <sz val="8"/>
      <name val="ＤＦＰ極太明朝体"/>
      <family val="1"/>
      <charset val="128"/>
    </font>
    <font>
      <sz val="12"/>
      <name val="游ゴシック"/>
      <family val="3"/>
      <charset val="128"/>
      <scheme val="minor"/>
    </font>
    <font>
      <sz val="9"/>
      <name val="BIZ UDPゴシック"/>
      <family val="3"/>
      <charset val="128"/>
    </font>
    <font>
      <b/>
      <sz val="12"/>
      <name val="HGSｺﾞｼｯｸM"/>
      <family val="3"/>
      <charset val="128"/>
    </font>
    <font>
      <sz val="12"/>
      <name val="HGSｺﾞｼｯｸM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name val="HGSｺﾞｼｯｸM"/>
      <family val="3"/>
      <charset val="128"/>
    </font>
    <font>
      <b/>
      <sz val="9"/>
      <name val="HGSｺﾞｼｯｸM"/>
      <family val="3"/>
      <charset val="128"/>
    </font>
    <font>
      <sz val="12"/>
      <color theme="0" tint="-0.499984740745262"/>
      <name val="HGSｺﾞｼｯｸM"/>
      <family val="3"/>
      <charset val="128"/>
    </font>
    <font>
      <sz val="9"/>
      <name val="HGPｺﾞｼｯｸM"/>
      <family val="3"/>
      <charset val="128"/>
    </font>
    <font>
      <sz val="12"/>
      <color theme="0" tint="-0.34998626667073579"/>
      <name val="HGSｺﾞｼｯｸM"/>
      <family val="3"/>
      <charset val="128"/>
    </font>
    <font>
      <sz val="9"/>
      <color theme="0" tint="-0.499984740745262"/>
      <name val="HGSｺﾞｼｯｸM"/>
      <family val="3"/>
      <charset val="128"/>
    </font>
    <font>
      <sz val="9"/>
      <name val="BIZ UDP明朝 Medium"/>
      <family val="1"/>
      <charset val="128"/>
    </font>
    <font>
      <sz val="10"/>
      <name val="BIZ UDP明朝 Medium"/>
      <family val="1"/>
      <charset val="128"/>
    </font>
    <font>
      <sz val="9"/>
      <color theme="0" tint="-0.499984740745262"/>
      <name val="BIZ UDP明朝 Medium"/>
      <family val="1"/>
      <charset val="128"/>
    </font>
    <font>
      <sz val="9"/>
      <color theme="0" tint="-0.499984740745262"/>
      <name val="BIZ UDPゴシック"/>
      <family val="3"/>
      <charset val="128"/>
    </font>
    <font>
      <sz val="9"/>
      <name val="游ゴシック"/>
      <family val="3"/>
      <charset val="128"/>
      <scheme val="minor"/>
    </font>
    <font>
      <sz val="9"/>
      <color theme="0" tint="-0.249977111117893"/>
      <name val="BIZ UDP明朝 Medium"/>
      <family val="1"/>
      <charset val="128"/>
    </font>
    <font>
      <sz val="9"/>
      <color theme="0" tint="-0.34998626667073579"/>
      <name val="HGSｺﾞｼｯｸM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20" fillId="0" borderId="0" applyFont="0" applyFill="0" applyBorder="0" applyAlignment="0" applyProtection="0">
      <alignment vertical="center"/>
    </xf>
  </cellStyleXfs>
  <cellXfs count="195">
    <xf numFmtId="0" fontId="0" fillId="0" borderId="0" xfId="0"/>
    <xf numFmtId="0" fontId="2" fillId="0" borderId="0" xfId="0" applyFont="1"/>
    <xf numFmtId="176" fontId="2" fillId="0" borderId="0" xfId="0" applyNumberFormat="1" applyFont="1" applyProtection="1">
      <protection locked="0"/>
    </xf>
    <xf numFmtId="176" fontId="2" fillId="0" borderId="0" xfId="0" applyNumberFormat="1" applyFont="1" applyAlignment="1" applyProtection="1">
      <alignment horizontal="left"/>
      <protection locked="0"/>
    </xf>
    <xf numFmtId="178" fontId="2" fillId="0" borderId="0" xfId="0" applyNumberFormat="1" applyFont="1" applyAlignment="1" applyProtection="1">
      <alignment horizontal="right"/>
      <protection locked="0"/>
    </xf>
    <xf numFmtId="177" fontId="2" fillId="0" borderId="0" xfId="0" applyNumberFormat="1" applyFont="1" applyProtection="1">
      <protection locked="0"/>
    </xf>
    <xf numFmtId="176" fontId="2" fillId="0" borderId="0" xfId="0" applyNumberFormat="1" applyFont="1" applyAlignment="1" applyProtection="1">
      <alignment horizontal="right"/>
      <protection locked="0"/>
    </xf>
    <xf numFmtId="177" fontId="2" fillId="0" borderId="0" xfId="0" applyNumberFormat="1" applyFont="1" applyAlignment="1" applyProtection="1">
      <alignment horizontal="right"/>
      <protection locked="0"/>
    </xf>
    <xf numFmtId="176" fontId="2" fillId="0" borderId="0" xfId="0" applyNumberFormat="1" applyFont="1" applyAlignment="1" applyProtection="1">
      <alignment horizontal="center" vertical="center"/>
      <protection locked="0"/>
    </xf>
    <xf numFmtId="177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176" fontId="2" fillId="0" borderId="0" xfId="0" applyNumberFormat="1" applyFont="1" applyAlignment="1" applyProtection="1">
      <alignment vertical="center"/>
      <protection locked="0"/>
    </xf>
    <xf numFmtId="179" fontId="2" fillId="0" borderId="0" xfId="0" applyNumberFormat="1" applyFont="1" applyAlignment="1" applyProtection="1">
      <alignment horizontal="right" vertical="center"/>
      <protection locked="0"/>
    </xf>
    <xf numFmtId="177" fontId="2" fillId="0" borderId="0" xfId="0" applyNumberFormat="1" applyFont="1" applyAlignment="1" applyProtection="1">
      <alignment vertical="center"/>
      <protection locked="0"/>
    </xf>
    <xf numFmtId="177" fontId="2" fillId="0" borderId="0" xfId="0" applyNumberFormat="1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176" fontId="2" fillId="0" borderId="0" xfId="0" applyNumberFormat="1" applyFont="1" applyAlignment="1" applyProtection="1">
      <alignment horizontal="right" vertical="center"/>
      <protection locked="0"/>
    </xf>
    <xf numFmtId="176" fontId="3" fillId="0" borderId="0" xfId="0" applyNumberFormat="1" applyFont="1" applyProtection="1">
      <protection locked="0"/>
    </xf>
    <xf numFmtId="176" fontId="4" fillId="0" borderId="0" xfId="0" applyNumberFormat="1" applyFont="1" applyAlignment="1" applyProtection="1">
      <alignment vertical="center"/>
      <protection locked="0"/>
    </xf>
    <xf numFmtId="3" fontId="2" fillId="0" borderId="0" xfId="0" applyNumberFormat="1" applyFont="1"/>
    <xf numFmtId="177" fontId="5" fillId="0" borderId="1" xfId="0" applyNumberFormat="1" applyFont="1" applyBorder="1" applyAlignment="1" applyProtection="1">
      <alignment horizontal="center" vertical="center"/>
      <protection locked="0"/>
    </xf>
    <xf numFmtId="176" fontId="5" fillId="0" borderId="2" xfId="0" applyNumberFormat="1" applyFont="1" applyBorder="1" applyAlignment="1" applyProtection="1">
      <alignment horizontal="center" vertical="center"/>
      <protection locked="0"/>
    </xf>
    <xf numFmtId="176" fontId="5" fillId="0" borderId="3" xfId="0" applyNumberFormat="1" applyFont="1" applyBorder="1" applyAlignment="1" applyProtection="1">
      <alignment horizontal="center" vertical="center"/>
      <protection locked="0"/>
    </xf>
    <xf numFmtId="3" fontId="5" fillId="0" borderId="4" xfId="0" applyNumberFormat="1" applyFont="1" applyBorder="1" applyAlignment="1" applyProtection="1">
      <alignment horizontal="center" vertical="center"/>
      <protection locked="0"/>
    </xf>
    <xf numFmtId="179" fontId="5" fillId="0" borderId="5" xfId="0" applyNumberFormat="1" applyFont="1" applyBorder="1" applyAlignment="1" applyProtection="1">
      <alignment vertical="center"/>
      <protection locked="0"/>
    </xf>
    <xf numFmtId="177" fontId="5" fillId="0" borderId="6" xfId="0" applyNumberFormat="1" applyFont="1" applyBorder="1" applyAlignment="1" applyProtection="1">
      <alignment vertical="center"/>
      <protection locked="0"/>
    </xf>
    <xf numFmtId="0" fontId="5" fillId="0" borderId="7" xfId="0" applyFont="1" applyBorder="1" applyAlignment="1" applyProtection="1">
      <alignment vertical="center"/>
      <protection locked="0"/>
    </xf>
    <xf numFmtId="0" fontId="5" fillId="0" borderId="4" xfId="0" applyFont="1" applyBorder="1" applyAlignment="1" applyProtection="1">
      <alignment horizontal="right" vertical="center"/>
      <protection locked="0"/>
    </xf>
    <xf numFmtId="176" fontId="5" fillId="0" borderId="4" xfId="0" applyNumberFormat="1" applyFont="1" applyBorder="1" applyAlignment="1" applyProtection="1">
      <alignment vertical="center"/>
      <protection locked="0"/>
    </xf>
    <xf numFmtId="177" fontId="5" fillId="0" borderId="8" xfId="0" applyNumberFormat="1" applyFont="1" applyBorder="1" applyAlignment="1" applyProtection="1">
      <alignment vertical="center"/>
      <protection locked="0"/>
    </xf>
    <xf numFmtId="177" fontId="5" fillId="0" borderId="5" xfId="0" applyNumberFormat="1" applyFont="1" applyBorder="1" applyAlignment="1" applyProtection="1">
      <alignment vertical="center"/>
      <protection locked="0"/>
    </xf>
    <xf numFmtId="177" fontId="5" fillId="0" borderId="9" xfId="0" applyNumberFormat="1" applyFont="1" applyBorder="1" applyAlignment="1" applyProtection="1">
      <alignment vertical="center"/>
      <protection locked="0"/>
    </xf>
    <xf numFmtId="3" fontId="5" fillId="0" borderId="10" xfId="0" applyNumberFormat="1" applyFont="1" applyBorder="1" applyAlignment="1" applyProtection="1">
      <alignment vertical="center"/>
      <protection locked="0"/>
    </xf>
    <xf numFmtId="176" fontId="5" fillId="0" borderId="4" xfId="0" applyNumberFormat="1" applyFont="1" applyBorder="1" applyAlignment="1" applyProtection="1">
      <alignment horizontal="center" vertical="center"/>
      <protection locked="0"/>
    </xf>
    <xf numFmtId="179" fontId="7" fillId="0" borderId="9" xfId="0" applyNumberFormat="1" applyFont="1" applyBorder="1" applyAlignment="1" applyProtection="1">
      <alignment vertical="center"/>
      <protection locked="0"/>
    </xf>
    <xf numFmtId="3" fontId="5" fillId="0" borderId="6" xfId="0" applyNumberFormat="1" applyFont="1" applyBorder="1" applyAlignment="1" applyProtection="1">
      <alignment horizontal="center" vertical="center"/>
      <protection locked="0"/>
    </xf>
    <xf numFmtId="3" fontId="5" fillId="0" borderId="6" xfId="0" applyNumberFormat="1" applyFont="1" applyBorder="1" applyAlignment="1" applyProtection="1">
      <alignment horizontal="right" vertical="center"/>
      <protection locked="0"/>
    </xf>
    <xf numFmtId="3" fontId="5" fillId="0" borderId="6" xfId="0" applyNumberFormat="1" applyFont="1" applyBorder="1" applyAlignment="1" applyProtection="1">
      <alignment vertical="center"/>
      <protection locked="0"/>
    </xf>
    <xf numFmtId="0" fontId="5" fillId="0" borderId="9" xfId="0" applyFont="1" applyBorder="1" applyAlignment="1">
      <alignment vertical="center"/>
    </xf>
    <xf numFmtId="3" fontId="5" fillId="0" borderId="5" xfId="0" applyNumberFormat="1" applyFont="1" applyBorder="1" applyAlignment="1" applyProtection="1">
      <alignment horizontal="center" vertical="center"/>
      <protection locked="0"/>
    </xf>
    <xf numFmtId="3" fontId="5" fillId="0" borderId="5" xfId="0" applyNumberFormat="1" applyFont="1" applyBorder="1" applyAlignment="1" applyProtection="1">
      <alignment vertical="center"/>
      <protection locked="0"/>
    </xf>
    <xf numFmtId="0" fontId="5" fillId="0" borderId="8" xfId="0" applyFont="1" applyBorder="1" applyAlignment="1">
      <alignment vertical="center"/>
    </xf>
    <xf numFmtId="3" fontId="5" fillId="0" borderId="5" xfId="0" applyNumberFormat="1" applyFont="1" applyBorder="1" applyAlignment="1" applyProtection="1">
      <alignment horizontal="right" vertical="center"/>
      <protection locked="0"/>
    </xf>
    <xf numFmtId="176" fontId="5" fillId="0" borderId="4" xfId="0" applyNumberFormat="1" applyFont="1" applyBorder="1" applyAlignment="1" applyProtection="1">
      <alignment horizontal="center" vertical="center" wrapText="1"/>
      <protection locked="0"/>
    </xf>
    <xf numFmtId="176" fontId="5" fillId="0" borderId="11" xfId="0" applyNumberFormat="1" applyFont="1" applyBorder="1" applyAlignment="1" applyProtection="1">
      <alignment horizontal="center" vertical="center"/>
      <protection locked="0"/>
    </xf>
    <xf numFmtId="176" fontId="5" fillId="0" borderId="12" xfId="0" applyNumberFormat="1" applyFont="1" applyBorder="1" applyAlignment="1" applyProtection="1">
      <alignment horizontal="center" vertical="center"/>
      <protection locked="0"/>
    </xf>
    <xf numFmtId="176" fontId="5" fillId="0" borderId="13" xfId="0" applyNumberFormat="1" applyFont="1" applyBorder="1" applyAlignment="1" applyProtection="1">
      <alignment horizontal="center" vertical="center"/>
      <protection locked="0"/>
    </xf>
    <xf numFmtId="177" fontId="5" fillId="0" borderId="14" xfId="0" applyNumberFormat="1" applyFont="1" applyBorder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vertical="center"/>
      <protection locked="0"/>
    </xf>
    <xf numFmtId="0" fontId="9" fillId="0" borderId="0" xfId="0" applyFont="1"/>
    <xf numFmtId="176" fontId="9" fillId="0" borderId="0" xfId="0" applyNumberFormat="1" applyFont="1" applyProtection="1">
      <protection locked="0"/>
    </xf>
    <xf numFmtId="176" fontId="9" fillId="0" borderId="0" xfId="0" applyNumberFormat="1" applyFont="1" applyAlignment="1" applyProtection="1">
      <alignment vertical="center"/>
      <protection locked="0"/>
    </xf>
    <xf numFmtId="176" fontId="9" fillId="0" borderId="0" xfId="0" applyNumberFormat="1" applyFont="1" applyAlignment="1" applyProtection="1">
      <alignment horizontal="right"/>
      <protection locked="0"/>
    </xf>
    <xf numFmtId="176" fontId="9" fillId="0" borderId="0" xfId="0" applyNumberFormat="1" applyFont="1" applyAlignment="1" applyProtection="1">
      <alignment horizontal="left"/>
      <protection locked="0"/>
    </xf>
    <xf numFmtId="176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Alignment="1" applyProtection="1">
      <alignment horizontal="right" vertical="center"/>
      <protection locked="0"/>
    </xf>
    <xf numFmtId="176" fontId="8" fillId="0" borderId="0" xfId="0" applyNumberFormat="1" applyFont="1" applyProtection="1">
      <protection locked="0"/>
    </xf>
    <xf numFmtId="176" fontId="9" fillId="0" borderId="15" xfId="0" applyNumberFormat="1" applyFont="1" applyBorder="1" applyProtection="1">
      <protection locked="0"/>
    </xf>
    <xf numFmtId="176" fontId="12" fillId="0" borderId="0" xfId="0" applyNumberFormat="1" applyFont="1" applyProtection="1">
      <protection locked="0"/>
    </xf>
    <xf numFmtId="176" fontId="13" fillId="0" borderId="0" xfId="0" applyNumberFormat="1" applyFont="1" applyAlignment="1" applyProtection="1">
      <alignment vertical="center"/>
      <protection locked="0"/>
    </xf>
    <xf numFmtId="176" fontId="13" fillId="0" borderId="0" xfId="0" applyNumberFormat="1" applyFont="1" applyProtection="1">
      <protection locked="0"/>
    </xf>
    <xf numFmtId="178" fontId="9" fillId="0" borderId="0" xfId="0" applyNumberFormat="1" applyFont="1" applyAlignment="1" applyProtection="1">
      <alignment horizontal="right"/>
      <protection locked="0"/>
    </xf>
    <xf numFmtId="177" fontId="9" fillId="0" borderId="0" xfId="0" applyNumberFormat="1" applyFont="1" applyProtection="1">
      <protection locked="0"/>
    </xf>
    <xf numFmtId="176" fontId="14" fillId="0" borderId="0" xfId="0" applyNumberFormat="1" applyFont="1" applyProtection="1">
      <protection locked="0"/>
    </xf>
    <xf numFmtId="176" fontId="15" fillId="0" borderId="0" xfId="0" applyNumberFormat="1" applyFont="1" applyAlignment="1" applyProtection="1">
      <alignment vertical="center"/>
      <protection locked="0"/>
    </xf>
    <xf numFmtId="0" fontId="12" fillId="0" borderId="0" xfId="0" applyFont="1"/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3" fontId="5" fillId="0" borderId="4" xfId="0" applyNumberFormat="1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vertical="center"/>
      <protection locked="0"/>
    </xf>
    <xf numFmtId="177" fontId="2" fillId="0" borderId="6" xfId="0" applyNumberFormat="1" applyFont="1" applyBorder="1" applyAlignment="1" applyProtection="1">
      <alignment vertical="center"/>
      <protection locked="0"/>
    </xf>
    <xf numFmtId="3" fontId="2" fillId="0" borderId="10" xfId="0" applyNumberFormat="1" applyFont="1" applyBorder="1" applyAlignment="1" applyProtection="1">
      <alignment vertical="center"/>
      <protection locked="0"/>
    </xf>
    <xf numFmtId="177" fontId="4" fillId="0" borderId="6" xfId="0" applyNumberFormat="1" applyFont="1" applyBorder="1" applyAlignment="1" applyProtection="1">
      <alignment vertical="center"/>
      <protection locked="0"/>
    </xf>
    <xf numFmtId="179" fontId="4" fillId="0" borderId="5" xfId="0" applyNumberFormat="1" applyFont="1" applyBorder="1" applyAlignment="1" applyProtection="1">
      <alignment vertical="center"/>
      <protection locked="0"/>
    </xf>
    <xf numFmtId="177" fontId="4" fillId="0" borderId="5" xfId="0" applyNumberFormat="1" applyFont="1" applyBorder="1" applyAlignment="1" applyProtection="1">
      <alignment vertical="center"/>
      <protection locked="0"/>
    </xf>
    <xf numFmtId="177" fontId="4" fillId="0" borderId="8" xfId="0" applyNumberFormat="1" applyFont="1" applyBorder="1" applyAlignment="1" applyProtection="1">
      <alignment vertical="center"/>
      <protection locked="0"/>
    </xf>
    <xf numFmtId="177" fontId="4" fillId="0" borderId="9" xfId="0" applyNumberFormat="1" applyFont="1" applyBorder="1" applyAlignment="1" applyProtection="1">
      <alignment vertical="center"/>
      <protection locked="0"/>
    </xf>
    <xf numFmtId="177" fontId="2" fillId="0" borderId="8" xfId="0" applyNumberFormat="1" applyFont="1" applyBorder="1" applyAlignment="1" applyProtection="1">
      <alignment vertical="center"/>
      <protection locked="0"/>
    </xf>
    <xf numFmtId="5" fontId="2" fillId="0" borderId="17" xfId="0" applyNumberFormat="1" applyFont="1" applyBorder="1" applyAlignment="1" applyProtection="1">
      <alignment vertical="center"/>
      <protection locked="0"/>
    </xf>
    <xf numFmtId="176" fontId="2" fillId="0" borderId="12" xfId="0" applyNumberFormat="1" applyFont="1" applyBorder="1" applyAlignment="1" applyProtection="1">
      <alignment horizontal="center" vertical="center"/>
      <protection locked="0"/>
    </xf>
    <xf numFmtId="176" fontId="13" fillId="0" borderId="0" xfId="0" applyNumberFormat="1" applyFont="1" applyAlignment="1" applyProtection="1">
      <alignment horizontal="right" vertical="center"/>
      <protection locked="0"/>
    </xf>
    <xf numFmtId="180" fontId="10" fillId="0" borderId="0" xfId="0" applyNumberFormat="1" applyFont="1" applyAlignment="1" applyProtection="1">
      <alignment horizontal="left"/>
      <protection locked="0"/>
    </xf>
    <xf numFmtId="176" fontId="5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7" fontId="2" fillId="0" borderId="18" xfId="0" applyNumberFormat="1" applyFont="1" applyBorder="1" applyAlignment="1" applyProtection="1">
      <alignment vertical="center"/>
      <protection locked="0"/>
    </xf>
    <xf numFmtId="179" fontId="7" fillId="0" borderId="18" xfId="0" applyNumberFormat="1" applyFont="1" applyBorder="1" applyAlignment="1" applyProtection="1">
      <alignment vertical="center"/>
      <protection locked="0"/>
    </xf>
    <xf numFmtId="177" fontId="4" fillId="0" borderId="18" xfId="0" applyNumberFormat="1" applyFont="1" applyBorder="1" applyAlignment="1" applyProtection="1">
      <alignment vertical="center"/>
      <protection locked="0"/>
    </xf>
    <xf numFmtId="5" fontId="2" fillId="0" borderId="18" xfId="0" applyNumberFormat="1" applyFont="1" applyBorder="1" applyAlignment="1" applyProtection="1">
      <alignment vertical="center"/>
      <protection locked="0"/>
    </xf>
    <xf numFmtId="0" fontId="5" fillId="0" borderId="7" xfId="0" applyFont="1" applyBorder="1" applyAlignment="1" applyProtection="1">
      <alignment horizontal="right" vertical="center"/>
      <protection locked="0"/>
    </xf>
    <xf numFmtId="181" fontId="10" fillId="0" borderId="0" xfId="0" applyNumberFormat="1" applyFont="1" applyProtection="1">
      <protection locked="0"/>
    </xf>
    <xf numFmtId="178" fontId="14" fillId="0" borderId="0" xfId="0" applyNumberFormat="1" applyFont="1" applyProtection="1">
      <protection locked="0"/>
    </xf>
    <xf numFmtId="177" fontId="5" fillId="0" borderId="14" xfId="0" applyNumberFormat="1" applyFont="1" applyBorder="1" applyAlignment="1" applyProtection="1">
      <alignment vertical="center"/>
      <protection locked="0"/>
    </xf>
    <xf numFmtId="182" fontId="18" fillId="0" borderId="0" xfId="0" applyNumberFormat="1" applyFont="1"/>
    <xf numFmtId="38" fontId="0" fillId="0" borderId="0" xfId="1" applyFont="1" applyAlignment="1"/>
    <xf numFmtId="5" fontId="0" fillId="0" borderId="0" xfId="0" applyNumberFormat="1"/>
    <xf numFmtId="0" fontId="1" fillId="0" borderId="0" xfId="0" applyFont="1"/>
    <xf numFmtId="176" fontId="22" fillId="0" borderId="0" xfId="0" applyNumberFormat="1" applyFont="1" applyProtection="1">
      <protection locked="0"/>
    </xf>
    <xf numFmtId="176" fontId="15" fillId="0" borderId="0" xfId="0" applyNumberFormat="1" applyFont="1" applyProtection="1">
      <protection locked="0"/>
    </xf>
    <xf numFmtId="181" fontId="15" fillId="0" borderId="0" xfId="0" applyNumberFormat="1" applyFont="1" applyProtection="1">
      <protection locked="0"/>
    </xf>
    <xf numFmtId="0" fontId="23" fillId="3" borderId="0" xfId="0" applyFont="1" applyFill="1"/>
    <xf numFmtId="14" fontId="23" fillId="3" borderId="0" xfId="0" applyNumberFormat="1" applyFont="1" applyFill="1"/>
    <xf numFmtId="38" fontId="23" fillId="3" borderId="0" xfId="1" applyFont="1" applyFill="1" applyAlignment="1"/>
    <xf numFmtId="38" fontId="23" fillId="3" borderId="0" xfId="1" applyFont="1" applyFill="1" applyAlignment="1">
      <alignment wrapText="1"/>
    </xf>
    <xf numFmtId="0" fontId="23" fillId="0" borderId="0" xfId="0" applyFont="1"/>
    <xf numFmtId="14" fontId="23" fillId="0" borderId="0" xfId="0" applyNumberFormat="1" applyFont="1"/>
    <xf numFmtId="38" fontId="23" fillId="0" borderId="0" xfId="1" applyFont="1" applyAlignment="1"/>
    <xf numFmtId="0" fontId="23" fillId="2" borderId="0" xfId="0" applyFont="1" applyFill="1" applyAlignment="1">
      <alignment horizontal="right"/>
    </xf>
    <xf numFmtId="14" fontId="23" fillId="2" borderId="0" xfId="0" applyNumberFormat="1" applyFont="1" applyFill="1"/>
    <xf numFmtId="0" fontId="23" fillId="2" borderId="0" xfId="0" applyFont="1" applyFill="1"/>
    <xf numFmtId="38" fontId="23" fillId="2" borderId="0" xfId="1" applyFont="1" applyFill="1" applyAlignment="1"/>
    <xf numFmtId="0" fontId="24" fillId="0" borderId="0" xfId="0" applyFont="1"/>
    <xf numFmtId="38" fontId="24" fillId="0" borderId="0" xfId="1" applyFont="1" applyAlignment="1"/>
    <xf numFmtId="17" fontId="24" fillId="0" borderId="0" xfId="0" applyNumberFormat="1" applyFont="1"/>
    <xf numFmtId="38" fontId="24" fillId="0" borderId="0" xfId="0" applyNumberFormat="1" applyFont="1"/>
    <xf numFmtId="0" fontId="25" fillId="0" borderId="0" xfId="0" applyFont="1" applyAlignment="1">
      <alignment horizontal="center"/>
    </xf>
    <xf numFmtId="14" fontId="25" fillId="0" borderId="0" xfId="0" applyNumberFormat="1" applyFont="1" applyAlignment="1">
      <alignment horizontal="center"/>
    </xf>
    <xf numFmtId="0" fontId="25" fillId="0" borderId="0" xfId="0" applyFont="1" applyAlignment="1">
      <alignment horizontal="center" wrapText="1"/>
    </xf>
    <xf numFmtId="38" fontId="25" fillId="0" borderId="0" xfId="1" applyFont="1" applyFill="1" applyAlignment="1">
      <alignment horizontal="center" wrapText="1"/>
    </xf>
    <xf numFmtId="0" fontId="25" fillId="2" borderId="0" xfId="0" applyFont="1" applyFill="1" applyAlignment="1">
      <alignment horizontal="center" wrapText="1"/>
    </xf>
    <xf numFmtId="38" fontId="25" fillId="2" borderId="0" xfId="1" applyFont="1" applyFill="1" applyAlignment="1">
      <alignment horizontal="center" wrapText="1"/>
    </xf>
    <xf numFmtId="38" fontId="25" fillId="0" borderId="0" xfId="1" applyFont="1" applyAlignment="1">
      <alignment horizontal="center" vertical="center" wrapText="1"/>
    </xf>
    <xf numFmtId="0" fontId="26" fillId="0" borderId="0" xfId="0" applyFont="1"/>
    <xf numFmtId="14" fontId="26" fillId="0" borderId="0" xfId="0" applyNumberFormat="1" applyFont="1"/>
    <xf numFmtId="38" fontId="26" fillId="0" borderId="0" xfId="1" applyFont="1" applyAlignment="1"/>
    <xf numFmtId="38" fontId="26" fillId="4" borderId="0" xfId="1" applyFont="1" applyFill="1" applyAlignment="1"/>
    <xf numFmtId="0" fontId="26" fillId="4" borderId="0" xfId="0" applyFont="1" applyFill="1"/>
    <xf numFmtId="0" fontId="25" fillId="0" borderId="0" xfId="0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38" fontId="25" fillId="0" borderId="0" xfId="1" applyFont="1" applyFill="1" applyAlignment="1">
      <alignment horizontal="center" vertical="center" wrapText="1"/>
    </xf>
    <xf numFmtId="38" fontId="26" fillId="0" borderId="0" xfId="1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38" fontId="25" fillId="2" borderId="0" xfId="1" applyFont="1" applyFill="1" applyAlignment="1">
      <alignment horizontal="center" vertical="center" wrapText="1"/>
    </xf>
    <xf numFmtId="38" fontId="29" fillId="0" borderId="0" xfId="1" applyFont="1" applyFill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185" fontId="29" fillId="0" borderId="0" xfId="0" applyNumberFormat="1" applyFont="1"/>
    <xf numFmtId="0" fontId="29" fillId="0" borderId="0" xfId="0" applyFont="1"/>
    <xf numFmtId="0" fontId="31" fillId="0" borderId="0" xfId="0" applyFont="1"/>
    <xf numFmtId="14" fontId="31" fillId="0" borderId="0" xfId="0" applyNumberFormat="1" applyFont="1"/>
    <xf numFmtId="38" fontId="31" fillId="0" borderId="0" xfId="1" applyFont="1" applyAlignment="1"/>
    <xf numFmtId="38" fontId="31" fillId="4" borderId="0" xfId="1" applyFont="1" applyFill="1" applyAlignment="1"/>
    <xf numFmtId="56" fontId="32" fillId="0" borderId="0" xfId="0" applyNumberFormat="1" applyFont="1"/>
    <xf numFmtId="0" fontId="33" fillId="0" borderId="0" xfId="0" applyFont="1"/>
    <xf numFmtId="14" fontId="33" fillId="0" borderId="0" xfId="0" applyNumberFormat="1" applyFont="1"/>
    <xf numFmtId="38" fontId="33" fillId="0" borderId="0" xfId="1" applyFont="1" applyAlignment="1"/>
    <xf numFmtId="38" fontId="33" fillId="4" borderId="0" xfId="1" applyFont="1" applyFill="1" applyAlignment="1"/>
    <xf numFmtId="185" fontId="34" fillId="0" borderId="0" xfId="0" applyNumberFormat="1" applyFont="1"/>
    <xf numFmtId="38" fontId="35" fillId="0" borderId="0" xfId="1" applyFont="1" applyAlignment="1">
      <alignment shrinkToFit="1"/>
    </xf>
    <xf numFmtId="56" fontId="35" fillId="0" borderId="0" xfId="0" applyNumberFormat="1" applyFont="1"/>
    <xf numFmtId="56" fontId="36" fillId="0" borderId="0" xfId="0" applyNumberFormat="1" applyFont="1"/>
    <xf numFmtId="38" fontId="37" fillId="0" borderId="0" xfId="1" applyFont="1" applyAlignment="1">
      <alignment shrinkToFit="1"/>
    </xf>
    <xf numFmtId="38" fontId="38" fillId="0" borderId="0" xfId="1" applyFont="1" applyAlignment="1"/>
    <xf numFmtId="178" fontId="13" fillId="0" borderId="0" xfId="0" applyNumberFormat="1" applyFont="1" applyAlignment="1" applyProtection="1">
      <alignment horizontal="right"/>
      <protection locked="0"/>
    </xf>
    <xf numFmtId="177" fontId="13" fillId="0" borderId="0" xfId="0" applyNumberFormat="1" applyFont="1" applyProtection="1">
      <protection locked="0"/>
    </xf>
    <xf numFmtId="0" fontId="30" fillId="4" borderId="0" xfId="0" applyFont="1" applyFill="1" applyAlignment="1">
      <alignment horizontal="center" vertical="center" wrapText="1"/>
    </xf>
    <xf numFmtId="185" fontId="29" fillId="4" borderId="0" xfId="0" applyNumberFormat="1" applyFont="1" applyFill="1"/>
    <xf numFmtId="183" fontId="8" fillId="0" borderId="0" xfId="0" applyNumberFormat="1" applyFont="1" applyAlignment="1" applyProtection="1">
      <alignment horizontal="left"/>
      <protection locked="0"/>
    </xf>
    <xf numFmtId="0" fontId="39" fillId="0" borderId="0" xfId="0" applyFont="1"/>
    <xf numFmtId="0" fontId="39" fillId="0" borderId="0" xfId="0" applyFont="1" applyAlignment="1">
      <alignment shrinkToFit="1"/>
    </xf>
    <xf numFmtId="185" fontId="34" fillId="4" borderId="0" xfId="0" applyNumberFormat="1" applyFont="1" applyFill="1"/>
    <xf numFmtId="38" fontId="40" fillId="0" borderId="0" xfId="1" applyFont="1" applyAlignment="1">
      <alignment shrinkToFit="1"/>
    </xf>
    <xf numFmtId="185" fontId="41" fillId="4" borderId="0" xfId="0" applyNumberFormat="1" applyFont="1" applyFill="1"/>
    <xf numFmtId="22" fontId="0" fillId="0" borderId="0" xfId="0" applyNumberFormat="1"/>
    <xf numFmtId="14" fontId="0" fillId="0" borderId="0" xfId="0" applyNumberFormat="1"/>
    <xf numFmtId="186" fontId="0" fillId="0" borderId="0" xfId="0" applyNumberFormat="1"/>
    <xf numFmtId="14" fontId="0" fillId="5" borderId="0" xfId="0" applyNumberFormat="1" applyFill="1" applyAlignment="1">
      <alignment horizontal="center" vertical="top"/>
    </xf>
    <xf numFmtId="176" fontId="2" fillId="0" borderId="0" xfId="0" applyNumberFormat="1" applyFont="1" applyAlignment="1" applyProtection="1">
      <alignment vertical="center"/>
      <protection locked="0"/>
    </xf>
    <xf numFmtId="0" fontId="0" fillId="0" borderId="0" xfId="0" applyAlignment="1">
      <alignment vertical="center"/>
    </xf>
    <xf numFmtId="178" fontId="14" fillId="0" borderId="0" xfId="0" applyNumberFormat="1" applyFont="1" applyAlignment="1" applyProtection="1">
      <alignment horizontal="right"/>
      <protection locked="0"/>
    </xf>
    <xf numFmtId="184" fontId="11" fillId="0" borderId="0" xfId="0" applyNumberFormat="1" applyFont="1" applyAlignment="1" applyProtection="1">
      <alignment horizontal="left" shrinkToFit="1"/>
      <protection locked="0"/>
    </xf>
    <xf numFmtId="176" fontId="5" fillId="0" borderId="21" xfId="0" applyNumberFormat="1" applyFont="1" applyBorder="1" applyAlignment="1" applyProtection="1">
      <alignment horizontal="center" vertical="center"/>
      <protection locked="0"/>
    </xf>
    <xf numFmtId="176" fontId="5" fillId="0" borderId="16" xfId="0" applyNumberFormat="1" applyFont="1" applyBorder="1" applyAlignment="1" applyProtection="1">
      <alignment horizontal="center" vertical="center"/>
      <protection locked="0"/>
    </xf>
    <xf numFmtId="176" fontId="17" fillId="0" borderId="0" xfId="0" applyNumberFormat="1" applyFont="1" applyAlignment="1" applyProtection="1">
      <alignment horizontal="center" vertical="center"/>
      <protection locked="0"/>
    </xf>
    <xf numFmtId="176" fontId="5" fillId="0" borderId="22" xfId="0" applyNumberFormat="1" applyFont="1" applyBorder="1" applyAlignment="1" applyProtection="1">
      <alignment vertical="center"/>
      <protection locked="0"/>
    </xf>
    <xf numFmtId="0" fontId="0" fillId="0" borderId="9" xfId="0" applyBorder="1"/>
    <xf numFmtId="0" fontId="0" fillId="0" borderId="23" xfId="0" applyBorder="1"/>
    <xf numFmtId="176" fontId="11" fillId="0" borderId="0" xfId="0" applyNumberFormat="1" applyFont="1" applyAlignment="1" applyProtection="1">
      <alignment horizontal="right" vertical="center"/>
      <protection locked="0"/>
    </xf>
    <xf numFmtId="176" fontId="13" fillId="0" borderId="0" xfId="0" applyNumberFormat="1" applyFont="1" applyAlignment="1" applyProtection="1">
      <alignment horizontal="right" vertical="center"/>
      <protection locked="0"/>
    </xf>
    <xf numFmtId="184" fontId="8" fillId="0" borderId="0" xfId="0" applyNumberFormat="1" applyFont="1" applyAlignment="1" applyProtection="1">
      <alignment horizontal="center" vertical="center"/>
      <protection locked="0"/>
    </xf>
    <xf numFmtId="176" fontId="5" fillId="0" borderId="19" xfId="0" applyNumberFormat="1" applyFont="1" applyBorder="1" applyAlignment="1" applyProtection="1">
      <alignment horizontal="center" vertical="center"/>
      <protection locked="0"/>
    </xf>
    <xf numFmtId="176" fontId="5" fillId="0" borderId="20" xfId="0" applyNumberFormat="1" applyFont="1" applyBorder="1" applyAlignment="1" applyProtection="1">
      <alignment horizontal="center" vertical="center"/>
      <protection locked="0"/>
    </xf>
    <xf numFmtId="184" fontId="11" fillId="0" borderId="0" xfId="0" applyNumberFormat="1" applyFont="1" applyAlignment="1" applyProtection="1">
      <alignment horizontal="left"/>
      <protection locked="0"/>
    </xf>
    <xf numFmtId="176" fontId="9" fillId="0" borderId="0" xfId="0" applyNumberFormat="1" applyFont="1" applyAlignment="1" applyProtection="1">
      <alignment horizontal="right"/>
      <protection locked="0"/>
    </xf>
    <xf numFmtId="176" fontId="16" fillId="0" borderId="0" xfId="0" applyNumberFormat="1" applyFont="1" applyAlignment="1" applyProtection="1">
      <alignment horizontal="center" vertical="center"/>
      <protection locked="0"/>
    </xf>
    <xf numFmtId="0" fontId="6" fillId="0" borderId="9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5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5" fillId="0" borderId="9" xfId="0" applyNumberFormat="1" applyFont="1" applyBorder="1" applyAlignment="1" applyProtection="1">
      <alignment vertical="center"/>
      <protection locked="0"/>
    </xf>
    <xf numFmtId="176" fontId="5" fillId="0" borderId="23" xfId="0" applyNumberFormat="1" applyFont="1" applyBorder="1" applyAlignment="1" applyProtection="1">
      <alignment vertical="center"/>
      <protection locked="0"/>
    </xf>
    <xf numFmtId="181" fontId="11" fillId="0" borderId="0" xfId="0" applyNumberFormat="1" applyFont="1" applyAlignment="1" applyProtection="1">
      <alignment horizontal="left"/>
      <protection locked="0"/>
    </xf>
    <xf numFmtId="181" fontId="8" fillId="0" borderId="0" xfId="0" applyNumberFormat="1" applyFont="1" applyAlignment="1" applyProtection="1">
      <alignment horizontal="center" vertical="center"/>
      <protection locked="0"/>
    </xf>
    <xf numFmtId="0" fontId="0" fillId="0" borderId="0" xfId="0" quotePrefix="1"/>
  </cellXfs>
  <cellStyles count="2">
    <cellStyle name="桁区切り" xfId="1" builtinId="6"/>
    <cellStyle name="標準" xfId="0" builtinId="0"/>
  </cellStyles>
  <dxfs count="3">
    <dxf>
      <numFmt numFmtId="27" formatCode="yyyy/m/d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266700</xdr:colOff>
      <xdr:row>6</xdr:row>
      <xdr:rowOff>38100</xdr:rowOff>
    </xdr:from>
    <xdr:to>
      <xdr:col>20</xdr:col>
      <xdr:colOff>352425</xdr:colOff>
      <xdr:row>10</xdr:row>
      <xdr:rowOff>219075</xdr:rowOff>
    </xdr:to>
    <xdr:pic>
      <xdr:nvPicPr>
        <xdr:cNvPr id="1766" name="Picture 1">
          <a:extLst>
            <a:ext uri="{FF2B5EF4-FFF2-40B4-BE49-F238E27FC236}">
              <a16:creationId xmlns:a16="http://schemas.microsoft.com/office/drawing/2014/main" id="{7345D7F3-8034-4C44-A4F6-823B1F64E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3175" y="1323975"/>
          <a:ext cx="31623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695325</xdr:colOff>
      <xdr:row>8</xdr:row>
      <xdr:rowOff>38100</xdr:rowOff>
    </xdr:from>
    <xdr:to>
      <xdr:col>14</xdr:col>
      <xdr:colOff>47625</xdr:colOff>
      <xdr:row>12</xdr:row>
      <xdr:rowOff>333375</xdr:rowOff>
    </xdr:to>
    <xdr:pic>
      <xdr:nvPicPr>
        <xdr:cNvPr id="1767" name="Picture 2">
          <a:extLst>
            <a:ext uri="{FF2B5EF4-FFF2-40B4-BE49-F238E27FC236}">
              <a16:creationId xmlns:a16="http://schemas.microsoft.com/office/drawing/2014/main" id="{A99ABF80-6A51-4D23-972F-1CCAD6786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1990725"/>
          <a:ext cx="31623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142875</xdr:colOff>
      <xdr:row>15</xdr:row>
      <xdr:rowOff>66675</xdr:rowOff>
    </xdr:from>
    <xdr:to>
      <xdr:col>11</xdr:col>
      <xdr:colOff>1371600</xdr:colOff>
      <xdr:row>17</xdr:row>
      <xdr:rowOff>247650</xdr:rowOff>
    </xdr:to>
    <xdr:grpSp>
      <xdr:nvGrpSpPr>
        <xdr:cNvPr id="1768" name="Group 18">
          <a:extLst>
            <a:ext uri="{FF2B5EF4-FFF2-40B4-BE49-F238E27FC236}">
              <a16:creationId xmlns:a16="http://schemas.microsoft.com/office/drawing/2014/main" id="{678E8691-CF9F-4F96-9070-53991B63C4E8}"/>
            </a:ext>
          </a:extLst>
        </xdr:cNvPr>
        <xdr:cNvGrpSpPr>
          <a:grpSpLocks/>
        </xdr:cNvGrpSpPr>
      </xdr:nvGrpSpPr>
      <xdr:grpSpPr bwMode="auto">
        <a:xfrm>
          <a:off x="5638800" y="3219450"/>
          <a:ext cx="1228725" cy="657225"/>
          <a:chOff x="530" y="305"/>
          <a:chExt cx="142" cy="63"/>
        </a:xfrm>
      </xdr:grpSpPr>
      <xdr:sp macro="" textlink="">
        <xdr:nvSpPr>
          <xdr:cNvPr id="1770" name="Rectangle 19">
            <a:extLst>
              <a:ext uri="{FF2B5EF4-FFF2-40B4-BE49-F238E27FC236}">
                <a16:creationId xmlns:a16="http://schemas.microsoft.com/office/drawing/2014/main" id="{CE2402F3-255E-420A-B2DA-969ECF3CC5BF}"/>
              </a:ext>
            </a:extLst>
          </xdr:cNvPr>
          <xdr:cNvSpPr>
            <a:spLocks noChangeArrowheads="1"/>
          </xdr:cNvSpPr>
        </xdr:nvSpPr>
        <xdr:spPr bwMode="auto">
          <a:xfrm>
            <a:off x="530" y="305"/>
            <a:ext cx="71" cy="6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771" name="Rectangle 20">
            <a:extLst>
              <a:ext uri="{FF2B5EF4-FFF2-40B4-BE49-F238E27FC236}">
                <a16:creationId xmlns:a16="http://schemas.microsoft.com/office/drawing/2014/main" id="{47DE299F-3212-4639-ACAE-780770B51273}"/>
              </a:ext>
            </a:extLst>
          </xdr:cNvPr>
          <xdr:cNvSpPr>
            <a:spLocks noChangeArrowheads="1"/>
          </xdr:cNvSpPr>
        </xdr:nvSpPr>
        <xdr:spPr bwMode="auto">
          <a:xfrm>
            <a:off x="601" y="305"/>
            <a:ext cx="71" cy="6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47625</xdr:colOff>
      <xdr:row>17</xdr:row>
      <xdr:rowOff>276225</xdr:rowOff>
    </xdr:from>
    <xdr:to>
      <xdr:col>11</xdr:col>
      <xdr:colOff>1340784</xdr:colOff>
      <xdr:row>19</xdr:row>
      <xdr:rowOff>59951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B7E6920-38CF-4432-9564-0117C44A6256}"/>
            </a:ext>
          </a:extLst>
        </xdr:cNvPr>
        <xdr:cNvSpPr txBox="1"/>
      </xdr:nvSpPr>
      <xdr:spPr>
        <a:xfrm>
          <a:off x="4629150" y="4181475"/>
          <a:ext cx="22075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事業者番号　</a:t>
          </a:r>
          <a:r>
            <a:rPr kumimoji="1" lang="en-US" altLang="ja-JP" sz="1100"/>
            <a:t>T7420001007086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57150</xdr:rowOff>
    </xdr:from>
    <xdr:to>
      <xdr:col>14</xdr:col>
      <xdr:colOff>0</xdr:colOff>
      <xdr:row>13</xdr:row>
      <xdr:rowOff>266700</xdr:rowOff>
    </xdr:to>
    <xdr:pic>
      <xdr:nvPicPr>
        <xdr:cNvPr id="3788" name="Picture 1">
          <a:extLst>
            <a:ext uri="{FF2B5EF4-FFF2-40B4-BE49-F238E27FC236}">
              <a16:creationId xmlns:a16="http://schemas.microsoft.com/office/drawing/2014/main" id="{F534A564-5BA1-4BE9-A49B-3B4DDDB71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1933575"/>
          <a:ext cx="32385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76200</xdr:colOff>
      <xdr:row>16</xdr:row>
      <xdr:rowOff>76200</xdr:rowOff>
    </xdr:from>
    <xdr:to>
      <xdr:col>11</xdr:col>
      <xdr:colOff>1304925</xdr:colOff>
      <xdr:row>18</xdr:row>
      <xdr:rowOff>295275</xdr:rowOff>
    </xdr:to>
    <xdr:grpSp>
      <xdr:nvGrpSpPr>
        <xdr:cNvPr id="3789" name="Group 13">
          <a:extLst>
            <a:ext uri="{FF2B5EF4-FFF2-40B4-BE49-F238E27FC236}">
              <a16:creationId xmlns:a16="http://schemas.microsoft.com/office/drawing/2014/main" id="{55A64E79-CA4D-4D21-A35E-B69FF7FEEFC2}"/>
            </a:ext>
          </a:extLst>
        </xdr:cNvPr>
        <xdr:cNvGrpSpPr>
          <a:grpSpLocks/>
        </xdr:cNvGrpSpPr>
      </xdr:nvGrpSpPr>
      <xdr:grpSpPr bwMode="auto">
        <a:xfrm>
          <a:off x="5419725" y="3257550"/>
          <a:ext cx="1228725" cy="695325"/>
          <a:chOff x="530" y="305"/>
          <a:chExt cx="142" cy="63"/>
        </a:xfrm>
      </xdr:grpSpPr>
      <xdr:sp macro="" textlink="">
        <xdr:nvSpPr>
          <xdr:cNvPr id="3791" name="Rectangle 14">
            <a:extLst>
              <a:ext uri="{FF2B5EF4-FFF2-40B4-BE49-F238E27FC236}">
                <a16:creationId xmlns:a16="http://schemas.microsoft.com/office/drawing/2014/main" id="{524FD68B-EF02-4684-8AAC-A0E3CCC1041F}"/>
              </a:ext>
            </a:extLst>
          </xdr:cNvPr>
          <xdr:cNvSpPr>
            <a:spLocks noChangeArrowheads="1"/>
          </xdr:cNvSpPr>
        </xdr:nvSpPr>
        <xdr:spPr bwMode="auto">
          <a:xfrm>
            <a:off x="530" y="305"/>
            <a:ext cx="71" cy="6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792" name="Rectangle 15">
            <a:extLst>
              <a:ext uri="{FF2B5EF4-FFF2-40B4-BE49-F238E27FC236}">
                <a16:creationId xmlns:a16="http://schemas.microsoft.com/office/drawing/2014/main" id="{C688C3E9-8118-42C2-88AB-A90AF473951B}"/>
              </a:ext>
            </a:extLst>
          </xdr:cNvPr>
          <xdr:cNvSpPr>
            <a:spLocks noChangeArrowheads="1"/>
          </xdr:cNvSpPr>
        </xdr:nvSpPr>
        <xdr:spPr bwMode="auto">
          <a:xfrm>
            <a:off x="601" y="305"/>
            <a:ext cx="71" cy="6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752475</xdr:colOff>
      <xdr:row>34</xdr:row>
      <xdr:rowOff>66675</xdr:rowOff>
    </xdr:from>
    <xdr:to>
      <xdr:col>11</xdr:col>
      <xdr:colOff>1276350</xdr:colOff>
      <xdr:row>35</xdr:row>
      <xdr:rowOff>95250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C43B7D8-AE8E-40D3-9B4F-29FC19B50453}"/>
            </a:ext>
          </a:extLst>
        </xdr:cNvPr>
        <xdr:cNvSpPr/>
      </xdr:nvSpPr>
      <xdr:spPr>
        <a:xfrm>
          <a:off x="5181600" y="11382375"/>
          <a:ext cx="1438275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ja-JP"/>
        </a:p>
        <a:p>
          <a:endParaRPr lang="ja-JP" altLang="en-US"/>
        </a:p>
      </xdr:txBody>
    </xdr:sp>
    <xdr:clientData/>
  </xdr:twoCellAnchor>
  <xdr:twoCellAnchor>
    <xdr:from>
      <xdr:col>14</xdr:col>
      <xdr:colOff>438150</xdr:colOff>
      <xdr:row>34</xdr:row>
      <xdr:rowOff>114300</xdr:rowOff>
    </xdr:from>
    <xdr:to>
      <xdr:col>17</xdr:col>
      <xdr:colOff>0</xdr:colOff>
      <xdr:row>35</xdr:row>
      <xdr:rowOff>152400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7880188-31D4-44F2-94AB-E5706AF5EE29}"/>
            </a:ext>
          </a:extLst>
        </xdr:cNvPr>
        <xdr:cNvSpPr/>
      </xdr:nvSpPr>
      <xdr:spPr>
        <a:xfrm>
          <a:off x="7677150" y="11430000"/>
          <a:ext cx="142875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95250</xdr:colOff>
      <xdr:row>18</xdr:row>
      <xdr:rowOff>323850</xdr:rowOff>
    </xdr:from>
    <xdr:to>
      <xdr:col>11</xdr:col>
      <xdr:colOff>1388409</xdr:colOff>
      <xdr:row>20</xdr:row>
      <xdr:rowOff>50426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1C085F2-6775-4575-A5E9-55B1E0236C77}"/>
            </a:ext>
          </a:extLst>
        </xdr:cNvPr>
        <xdr:cNvSpPr txBox="1"/>
      </xdr:nvSpPr>
      <xdr:spPr>
        <a:xfrm>
          <a:off x="4524375" y="4124325"/>
          <a:ext cx="22075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事業者番号　</a:t>
          </a:r>
          <a:r>
            <a:rPr kumimoji="1" lang="en-US" altLang="ja-JP" sz="1100"/>
            <a:t>T7420001007086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504825</xdr:colOff>
      <xdr:row>0</xdr:row>
      <xdr:rowOff>0</xdr:rowOff>
    </xdr:from>
    <xdr:to>
      <xdr:col>20</xdr:col>
      <xdr:colOff>94444</xdr:colOff>
      <xdr:row>62</xdr:row>
      <xdr:rowOff>99065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AE6FAC1-98D4-46A9-BFFF-23D6E52F0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0" y="0"/>
          <a:ext cx="6447619" cy="5333333"/>
        </a:xfrm>
        <a:prstGeom prst="rect">
          <a:avLst/>
        </a:prstGeom>
      </xdr:spPr>
    </xdr:pic>
    <xdr:clientData/>
  </xdr:twoCellAnchor>
  <xdr:twoCellAnchor>
    <xdr:from>
      <xdr:col>6</xdr:col>
      <xdr:colOff>485775</xdr:colOff>
      <xdr:row>5</xdr:row>
      <xdr:rowOff>85725</xdr:rowOff>
    </xdr:from>
    <xdr:to>
      <xdr:col>13</xdr:col>
      <xdr:colOff>95250</xdr:colOff>
      <xdr:row>23</xdr:row>
      <xdr:rowOff>171450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7AAF46F3-BE31-4B78-91A0-ADE05CB91215}"/>
            </a:ext>
          </a:extLst>
        </xdr:cNvPr>
        <xdr:cNvCxnSpPr/>
      </xdr:nvCxnSpPr>
      <xdr:spPr>
        <a:xfrm>
          <a:off x="4895850" y="1085850"/>
          <a:ext cx="4410075" cy="3686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44824</xdr:colOff>
      <xdr:row>57</xdr:row>
      <xdr:rowOff>33618</xdr:rowOff>
    </xdr:from>
    <xdr:to>
      <xdr:col>2</xdr:col>
      <xdr:colOff>89647</xdr:colOff>
      <xdr:row>60</xdr:row>
      <xdr:rowOff>22411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8EA1472-D095-3E6D-DD82-08285A6A607E}"/>
            </a:ext>
          </a:extLst>
        </xdr:cNvPr>
        <xdr:cNvSpPr/>
      </xdr:nvSpPr>
      <xdr:spPr>
        <a:xfrm>
          <a:off x="773206" y="4303059"/>
          <a:ext cx="1120588" cy="59391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33618</xdr:colOff>
      <xdr:row>56</xdr:row>
      <xdr:rowOff>44823</xdr:rowOff>
    </xdr:from>
    <xdr:to>
      <xdr:col>6</xdr:col>
      <xdr:colOff>11207</xdr:colOff>
      <xdr:row>60</xdr:row>
      <xdr:rowOff>22412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D3C03DF-AE4E-4FDE-BC0C-DF687863D961}"/>
            </a:ext>
          </a:extLst>
        </xdr:cNvPr>
        <xdr:cNvSpPr/>
      </xdr:nvSpPr>
      <xdr:spPr>
        <a:xfrm>
          <a:off x="4829736" y="4112558"/>
          <a:ext cx="1008530" cy="58270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11206</xdr:colOff>
      <xdr:row>0</xdr:row>
      <xdr:rowOff>67235</xdr:rowOff>
    </xdr:from>
    <xdr:to>
      <xdr:col>10</xdr:col>
      <xdr:colOff>112060</xdr:colOff>
      <xdr:row>2</xdr:row>
      <xdr:rowOff>22411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5A94AEC-D54C-4535-80A8-441EEEC0BD02}"/>
            </a:ext>
          </a:extLst>
        </xdr:cNvPr>
        <xdr:cNvSpPr txBox="1"/>
      </xdr:nvSpPr>
      <xdr:spPr>
        <a:xfrm>
          <a:off x="2821081" y="67235"/>
          <a:ext cx="6196854" cy="317126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決算時に会計士へ報告すること　　</a:t>
          </a:r>
          <a:r>
            <a:rPr kumimoji="1" lang="ja-JP" altLang="en-US" sz="1100">
              <a:solidFill>
                <a:srgbClr val="FF0000"/>
              </a:solidFill>
            </a:rPr>
            <a:t>（輸入品消費税内訳書）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324970</xdr:colOff>
      <xdr:row>0</xdr:row>
      <xdr:rowOff>56029</xdr:rowOff>
    </xdr:from>
    <xdr:to>
      <xdr:col>2</xdr:col>
      <xdr:colOff>649940</xdr:colOff>
      <xdr:row>2</xdr:row>
      <xdr:rowOff>291352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6782F7C-3853-4690-A84A-DB76CE4B30B3}"/>
            </a:ext>
          </a:extLst>
        </xdr:cNvPr>
        <xdr:cNvSpPr txBox="1"/>
      </xdr:nvSpPr>
      <xdr:spPr>
        <a:xfrm>
          <a:off x="324970" y="56029"/>
          <a:ext cx="1401295" cy="5972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通関書類を見て、</a:t>
          </a:r>
          <a:endParaRPr kumimoji="1" lang="en-US" altLang="ja-JP" sz="1100"/>
        </a:p>
        <a:p>
          <a:r>
            <a:rPr kumimoji="1" lang="ja-JP" altLang="en-US" sz="1100"/>
            <a:t>記入すること！！</a:t>
          </a:r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10</xdr:col>
      <xdr:colOff>100853</xdr:colOff>
      <xdr:row>0</xdr:row>
      <xdr:rowOff>11206</xdr:rowOff>
    </xdr:from>
    <xdr:to>
      <xdr:col>13</xdr:col>
      <xdr:colOff>123264</xdr:colOff>
      <xdr:row>2</xdr:row>
      <xdr:rowOff>246530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819B288-F118-4740-8B19-ECA23B688AF1}"/>
            </a:ext>
          </a:extLst>
        </xdr:cNvPr>
        <xdr:cNvSpPr txBox="1"/>
      </xdr:nvSpPr>
      <xdr:spPr>
        <a:xfrm>
          <a:off x="9006728" y="11206"/>
          <a:ext cx="2660836" cy="597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ここは、全体の金額</a:t>
          </a:r>
          <a:endParaRPr kumimoji="1" lang="en-US" altLang="ja-JP" sz="900"/>
        </a:p>
        <a:p>
          <a:r>
            <a:rPr kumimoji="1" lang="ja-JP" altLang="en-US" sz="900"/>
            <a:t>輸入許可通知書の</a:t>
          </a:r>
          <a:r>
            <a:rPr kumimoji="1" lang="en-US" altLang="ja-JP" sz="900"/>
            <a:t>1/2</a:t>
          </a:r>
          <a:r>
            <a:rPr kumimoji="1" lang="ja-JP" altLang="en-US" sz="900"/>
            <a:t>左下側税科目欄を見て確認</a:t>
          </a:r>
          <a:endParaRPr kumimoji="1" lang="en-US" altLang="ja-JP" sz="900"/>
        </a:p>
        <a:p>
          <a:r>
            <a:rPr kumimoji="1" lang="en-US" altLang="ja-JP" sz="900">
              <a:solidFill>
                <a:srgbClr val="FF0000"/>
              </a:solidFill>
            </a:rPr>
            <a:t>D</a:t>
          </a:r>
          <a:r>
            <a:rPr kumimoji="1" lang="ja-JP" altLang="en-US" sz="900">
              <a:solidFill>
                <a:srgbClr val="FF0000"/>
              </a:solidFill>
            </a:rPr>
            <a:t>関税が</a:t>
          </a:r>
          <a:r>
            <a:rPr kumimoji="1" lang="en-US" altLang="ja-JP" sz="900">
              <a:solidFill>
                <a:srgbClr val="FF0000"/>
              </a:solidFill>
            </a:rPr>
            <a:t>0</a:t>
          </a:r>
          <a:r>
            <a:rPr kumimoji="1" lang="ja-JP" altLang="en-US" sz="900">
              <a:solidFill>
                <a:srgbClr val="FF0000"/>
              </a:solidFill>
            </a:rPr>
            <a:t>以外の時は、決算時に提出すること</a:t>
          </a:r>
        </a:p>
      </xdr:txBody>
    </xdr:sp>
    <xdr:clientData/>
  </xdr:twoCellAnchor>
  <xdr:twoCellAnchor>
    <xdr:from>
      <xdr:col>13</xdr:col>
      <xdr:colOff>100853</xdr:colOff>
      <xdr:row>0</xdr:row>
      <xdr:rowOff>44824</xdr:rowOff>
    </xdr:from>
    <xdr:to>
      <xdr:col>17</xdr:col>
      <xdr:colOff>694765</xdr:colOff>
      <xdr:row>1</xdr:row>
      <xdr:rowOff>134471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71E39C4-712E-40AB-8FBB-9633C5530005}"/>
            </a:ext>
          </a:extLst>
        </xdr:cNvPr>
        <xdr:cNvSpPr txBox="1"/>
      </xdr:nvSpPr>
      <xdr:spPr>
        <a:xfrm>
          <a:off x="11645153" y="44824"/>
          <a:ext cx="4927787" cy="2706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ここは、雪印分（</a:t>
          </a:r>
          <a:r>
            <a:rPr kumimoji="1" lang="en-US" altLang="ja-JP" sz="1100"/>
            <a:t>=</a:t>
          </a:r>
          <a:r>
            <a:rPr kumimoji="1" lang="ja-JP" altLang="en-US" sz="1100"/>
            <a:t>みちのく負担分）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11206</xdr:colOff>
      <xdr:row>0</xdr:row>
      <xdr:rowOff>67235</xdr:rowOff>
    </xdr:from>
    <xdr:to>
      <xdr:col>9</xdr:col>
      <xdr:colOff>112060</xdr:colOff>
      <xdr:row>2</xdr:row>
      <xdr:rowOff>22411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5ECF664-1C28-4E23-95B7-6A5242CDA41A}"/>
            </a:ext>
          </a:extLst>
        </xdr:cNvPr>
        <xdr:cNvSpPr txBox="1"/>
      </xdr:nvSpPr>
      <xdr:spPr>
        <a:xfrm>
          <a:off x="2821081" y="67235"/>
          <a:ext cx="6196854" cy="317126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決算時に会計士へ報告すること　　</a:t>
          </a:r>
          <a:r>
            <a:rPr kumimoji="1" lang="ja-JP" altLang="en-US" sz="1100">
              <a:solidFill>
                <a:srgbClr val="FF0000"/>
              </a:solidFill>
            </a:rPr>
            <a:t>（輸入品消費税内訳書）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324970</xdr:colOff>
      <xdr:row>0</xdr:row>
      <xdr:rowOff>56029</xdr:rowOff>
    </xdr:from>
    <xdr:to>
      <xdr:col>1</xdr:col>
      <xdr:colOff>649940</xdr:colOff>
      <xdr:row>2</xdr:row>
      <xdr:rowOff>291352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6AA9841-6145-4B56-94BF-730FE9F9BDE0}"/>
            </a:ext>
          </a:extLst>
        </xdr:cNvPr>
        <xdr:cNvSpPr txBox="1"/>
      </xdr:nvSpPr>
      <xdr:spPr>
        <a:xfrm>
          <a:off x="324970" y="56029"/>
          <a:ext cx="1401295" cy="5972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通関書類を見て、</a:t>
          </a:r>
          <a:endParaRPr kumimoji="1" lang="en-US" altLang="ja-JP" sz="1100"/>
        </a:p>
        <a:p>
          <a:r>
            <a:rPr kumimoji="1" lang="ja-JP" altLang="en-US" sz="1100"/>
            <a:t>記入すること！！</a:t>
          </a:r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9</xdr:col>
      <xdr:colOff>100853</xdr:colOff>
      <xdr:row>0</xdr:row>
      <xdr:rowOff>11206</xdr:rowOff>
    </xdr:from>
    <xdr:to>
      <xdr:col>12</xdr:col>
      <xdr:colOff>123264</xdr:colOff>
      <xdr:row>2</xdr:row>
      <xdr:rowOff>246530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898FE61-9276-4F8B-941A-2CB9DDF41146}"/>
            </a:ext>
          </a:extLst>
        </xdr:cNvPr>
        <xdr:cNvSpPr txBox="1"/>
      </xdr:nvSpPr>
      <xdr:spPr>
        <a:xfrm>
          <a:off x="9006728" y="11206"/>
          <a:ext cx="2660836" cy="597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ここは、全体の金額</a:t>
          </a:r>
          <a:endParaRPr kumimoji="1" lang="en-US" altLang="ja-JP" sz="900"/>
        </a:p>
        <a:p>
          <a:r>
            <a:rPr kumimoji="1" lang="ja-JP" altLang="en-US" sz="900"/>
            <a:t>輸入許可通知書の</a:t>
          </a:r>
          <a:r>
            <a:rPr kumimoji="1" lang="en-US" altLang="ja-JP" sz="900"/>
            <a:t>1/2</a:t>
          </a:r>
          <a:r>
            <a:rPr kumimoji="1" lang="ja-JP" altLang="en-US" sz="900"/>
            <a:t>左下側税科目欄を見て確認</a:t>
          </a:r>
          <a:endParaRPr kumimoji="1" lang="en-US" altLang="ja-JP" sz="900"/>
        </a:p>
        <a:p>
          <a:r>
            <a:rPr kumimoji="1" lang="en-US" altLang="ja-JP" sz="900">
              <a:solidFill>
                <a:srgbClr val="FF0000"/>
              </a:solidFill>
            </a:rPr>
            <a:t>D</a:t>
          </a:r>
          <a:r>
            <a:rPr kumimoji="1" lang="ja-JP" altLang="en-US" sz="900">
              <a:solidFill>
                <a:srgbClr val="FF0000"/>
              </a:solidFill>
            </a:rPr>
            <a:t>関税が</a:t>
          </a:r>
          <a:r>
            <a:rPr kumimoji="1" lang="en-US" altLang="ja-JP" sz="900">
              <a:solidFill>
                <a:srgbClr val="FF0000"/>
              </a:solidFill>
            </a:rPr>
            <a:t>0</a:t>
          </a:r>
          <a:r>
            <a:rPr kumimoji="1" lang="ja-JP" altLang="en-US" sz="900">
              <a:solidFill>
                <a:srgbClr val="FF0000"/>
              </a:solidFill>
            </a:rPr>
            <a:t>以外の時は、決算時に提出すること</a:t>
          </a:r>
        </a:p>
      </xdr:txBody>
    </xdr:sp>
    <xdr:clientData/>
  </xdr:twoCellAnchor>
  <xdr:twoCellAnchor>
    <xdr:from>
      <xdr:col>12</xdr:col>
      <xdr:colOff>100853</xdr:colOff>
      <xdr:row>0</xdr:row>
      <xdr:rowOff>44824</xdr:rowOff>
    </xdr:from>
    <xdr:to>
      <xdr:col>16</xdr:col>
      <xdr:colOff>694765</xdr:colOff>
      <xdr:row>1</xdr:row>
      <xdr:rowOff>134471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E22E3AE-CDCF-48BC-867E-F06ADC0835B0}"/>
            </a:ext>
          </a:extLst>
        </xdr:cNvPr>
        <xdr:cNvSpPr txBox="1"/>
      </xdr:nvSpPr>
      <xdr:spPr>
        <a:xfrm>
          <a:off x="11645153" y="44824"/>
          <a:ext cx="4927787" cy="2706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ここは、雪印分（</a:t>
          </a:r>
          <a:r>
            <a:rPr kumimoji="1" lang="en-US" altLang="ja-JP" sz="1100"/>
            <a:t>=</a:t>
          </a:r>
          <a:r>
            <a:rPr kumimoji="1" lang="ja-JP" altLang="en-US" sz="1100"/>
            <a:t>みちのく負担分）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11206</xdr:colOff>
      <xdr:row>0</xdr:row>
      <xdr:rowOff>67235</xdr:rowOff>
    </xdr:from>
    <xdr:to>
      <xdr:col>9</xdr:col>
      <xdr:colOff>112060</xdr:colOff>
      <xdr:row>2</xdr:row>
      <xdr:rowOff>22411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5B10885-E60B-461E-AAEF-D88F51C5EFB8}"/>
            </a:ext>
          </a:extLst>
        </xdr:cNvPr>
        <xdr:cNvSpPr txBox="1"/>
      </xdr:nvSpPr>
      <xdr:spPr>
        <a:xfrm>
          <a:off x="2821081" y="67235"/>
          <a:ext cx="6196854" cy="317126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決算時に会計士へ報告すること　　</a:t>
          </a:r>
          <a:r>
            <a:rPr kumimoji="1" lang="ja-JP" altLang="en-US" sz="1100">
              <a:solidFill>
                <a:srgbClr val="FF0000"/>
              </a:solidFill>
            </a:rPr>
            <a:t>（輸入品消費税内訳書）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324970</xdr:colOff>
      <xdr:row>0</xdr:row>
      <xdr:rowOff>56029</xdr:rowOff>
    </xdr:from>
    <xdr:to>
      <xdr:col>1</xdr:col>
      <xdr:colOff>649940</xdr:colOff>
      <xdr:row>2</xdr:row>
      <xdr:rowOff>291352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C7A4375-539E-4DA7-BF84-DE955B8D9B42}"/>
            </a:ext>
          </a:extLst>
        </xdr:cNvPr>
        <xdr:cNvSpPr txBox="1"/>
      </xdr:nvSpPr>
      <xdr:spPr>
        <a:xfrm>
          <a:off x="324970" y="56029"/>
          <a:ext cx="1401295" cy="5972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通関書類を見て、</a:t>
          </a:r>
          <a:endParaRPr kumimoji="1" lang="en-US" altLang="ja-JP" sz="1100"/>
        </a:p>
        <a:p>
          <a:r>
            <a:rPr kumimoji="1" lang="ja-JP" altLang="en-US" sz="1100"/>
            <a:t>記入すること！！</a:t>
          </a:r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9</xdr:col>
      <xdr:colOff>100853</xdr:colOff>
      <xdr:row>0</xdr:row>
      <xdr:rowOff>11206</xdr:rowOff>
    </xdr:from>
    <xdr:to>
      <xdr:col>12</xdr:col>
      <xdr:colOff>123264</xdr:colOff>
      <xdr:row>2</xdr:row>
      <xdr:rowOff>246530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B88538F-EDBE-49EC-91B1-8AD3789A92ED}"/>
            </a:ext>
          </a:extLst>
        </xdr:cNvPr>
        <xdr:cNvSpPr txBox="1"/>
      </xdr:nvSpPr>
      <xdr:spPr>
        <a:xfrm>
          <a:off x="9006728" y="11206"/>
          <a:ext cx="2660836" cy="597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ここは、全体の金額</a:t>
          </a:r>
          <a:endParaRPr kumimoji="1" lang="en-US" altLang="ja-JP" sz="900"/>
        </a:p>
        <a:p>
          <a:r>
            <a:rPr kumimoji="1" lang="ja-JP" altLang="en-US" sz="900"/>
            <a:t>輸入許可通知書の</a:t>
          </a:r>
          <a:r>
            <a:rPr kumimoji="1" lang="en-US" altLang="ja-JP" sz="900"/>
            <a:t>1/2</a:t>
          </a:r>
          <a:r>
            <a:rPr kumimoji="1" lang="ja-JP" altLang="en-US" sz="900"/>
            <a:t>左下側税科目欄を見て確認</a:t>
          </a:r>
          <a:endParaRPr kumimoji="1" lang="en-US" altLang="ja-JP" sz="900"/>
        </a:p>
        <a:p>
          <a:r>
            <a:rPr kumimoji="1" lang="en-US" altLang="ja-JP" sz="900">
              <a:solidFill>
                <a:srgbClr val="FF0000"/>
              </a:solidFill>
            </a:rPr>
            <a:t>D</a:t>
          </a:r>
          <a:r>
            <a:rPr kumimoji="1" lang="ja-JP" altLang="en-US" sz="900">
              <a:solidFill>
                <a:srgbClr val="FF0000"/>
              </a:solidFill>
            </a:rPr>
            <a:t>関税が</a:t>
          </a:r>
          <a:r>
            <a:rPr kumimoji="1" lang="en-US" altLang="ja-JP" sz="900">
              <a:solidFill>
                <a:srgbClr val="FF0000"/>
              </a:solidFill>
            </a:rPr>
            <a:t>0</a:t>
          </a:r>
          <a:r>
            <a:rPr kumimoji="1" lang="ja-JP" altLang="en-US" sz="900">
              <a:solidFill>
                <a:srgbClr val="FF0000"/>
              </a:solidFill>
            </a:rPr>
            <a:t>以外の時は、決算時に提出すること</a:t>
          </a:r>
        </a:p>
      </xdr:txBody>
    </xdr:sp>
    <xdr:clientData/>
  </xdr:twoCellAnchor>
  <xdr:twoCellAnchor>
    <xdr:from>
      <xdr:col>12</xdr:col>
      <xdr:colOff>100853</xdr:colOff>
      <xdr:row>0</xdr:row>
      <xdr:rowOff>44824</xdr:rowOff>
    </xdr:from>
    <xdr:to>
      <xdr:col>16</xdr:col>
      <xdr:colOff>694765</xdr:colOff>
      <xdr:row>1</xdr:row>
      <xdr:rowOff>134471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692BD51-76F0-4561-B4C4-15DE4D479C47}"/>
            </a:ext>
          </a:extLst>
        </xdr:cNvPr>
        <xdr:cNvSpPr txBox="1"/>
      </xdr:nvSpPr>
      <xdr:spPr>
        <a:xfrm>
          <a:off x="11645153" y="44824"/>
          <a:ext cx="4927787" cy="2706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ここは、雪印分（</a:t>
          </a:r>
          <a:r>
            <a:rPr kumimoji="1" lang="en-US" altLang="ja-JP" sz="1100"/>
            <a:t>=</a:t>
          </a:r>
          <a:r>
            <a:rPr kumimoji="1" lang="ja-JP" altLang="en-US" sz="1100"/>
            <a:t>みちのく負担分）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11206</xdr:colOff>
      <xdr:row>0</xdr:row>
      <xdr:rowOff>67235</xdr:rowOff>
    </xdr:from>
    <xdr:to>
      <xdr:col>9</xdr:col>
      <xdr:colOff>112060</xdr:colOff>
      <xdr:row>2</xdr:row>
      <xdr:rowOff>22411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30AD19A-9C3A-4497-968B-7683BAD7A6B1}"/>
            </a:ext>
          </a:extLst>
        </xdr:cNvPr>
        <xdr:cNvSpPr txBox="1"/>
      </xdr:nvSpPr>
      <xdr:spPr>
        <a:xfrm>
          <a:off x="2821081" y="67235"/>
          <a:ext cx="6120654" cy="317126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決算時に会計士へ報告すること　　</a:t>
          </a:r>
          <a:r>
            <a:rPr kumimoji="1" lang="ja-JP" altLang="en-US" sz="1100">
              <a:solidFill>
                <a:srgbClr val="FF0000"/>
              </a:solidFill>
            </a:rPr>
            <a:t>（輸入品消費税内訳書）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324970</xdr:colOff>
      <xdr:row>0</xdr:row>
      <xdr:rowOff>56029</xdr:rowOff>
    </xdr:from>
    <xdr:to>
      <xdr:col>1</xdr:col>
      <xdr:colOff>649940</xdr:colOff>
      <xdr:row>2</xdr:row>
      <xdr:rowOff>291352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DBFFA86-4248-4C73-BB0D-DB7D793D842D}"/>
            </a:ext>
          </a:extLst>
        </xdr:cNvPr>
        <xdr:cNvSpPr txBox="1"/>
      </xdr:nvSpPr>
      <xdr:spPr>
        <a:xfrm>
          <a:off x="324970" y="56029"/>
          <a:ext cx="1401295" cy="5972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通関書類を見て、</a:t>
          </a:r>
          <a:endParaRPr kumimoji="1" lang="en-US" altLang="ja-JP" sz="1100"/>
        </a:p>
        <a:p>
          <a:r>
            <a:rPr kumimoji="1" lang="ja-JP" altLang="en-US" sz="1100"/>
            <a:t>記入すること！！</a:t>
          </a:r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9</xdr:col>
      <xdr:colOff>100853</xdr:colOff>
      <xdr:row>0</xdr:row>
      <xdr:rowOff>11206</xdr:rowOff>
    </xdr:from>
    <xdr:to>
      <xdr:col>12</xdr:col>
      <xdr:colOff>123264</xdr:colOff>
      <xdr:row>2</xdr:row>
      <xdr:rowOff>246530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75DAFB7-08C3-4374-8A07-6F9B06E69197}"/>
            </a:ext>
          </a:extLst>
        </xdr:cNvPr>
        <xdr:cNvSpPr txBox="1"/>
      </xdr:nvSpPr>
      <xdr:spPr>
        <a:xfrm>
          <a:off x="8930528" y="11206"/>
          <a:ext cx="2660836" cy="597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ここは、全体の金額</a:t>
          </a:r>
          <a:endParaRPr kumimoji="1" lang="en-US" altLang="ja-JP" sz="900"/>
        </a:p>
        <a:p>
          <a:r>
            <a:rPr kumimoji="1" lang="ja-JP" altLang="en-US" sz="900"/>
            <a:t>輸入許可通知書の</a:t>
          </a:r>
          <a:r>
            <a:rPr kumimoji="1" lang="en-US" altLang="ja-JP" sz="900"/>
            <a:t>1/2</a:t>
          </a:r>
          <a:r>
            <a:rPr kumimoji="1" lang="ja-JP" altLang="en-US" sz="900"/>
            <a:t>左下側税科目欄を見て確認</a:t>
          </a:r>
          <a:endParaRPr kumimoji="1" lang="en-US" altLang="ja-JP" sz="900"/>
        </a:p>
        <a:p>
          <a:r>
            <a:rPr kumimoji="1" lang="en-US" altLang="ja-JP" sz="900">
              <a:solidFill>
                <a:srgbClr val="FF0000"/>
              </a:solidFill>
            </a:rPr>
            <a:t>D</a:t>
          </a:r>
          <a:r>
            <a:rPr kumimoji="1" lang="ja-JP" altLang="en-US" sz="900">
              <a:solidFill>
                <a:srgbClr val="FF0000"/>
              </a:solidFill>
            </a:rPr>
            <a:t>関税が</a:t>
          </a:r>
          <a:r>
            <a:rPr kumimoji="1" lang="en-US" altLang="ja-JP" sz="900">
              <a:solidFill>
                <a:srgbClr val="FF0000"/>
              </a:solidFill>
            </a:rPr>
            <a:t>0</a:t>
          </a:r>
          <a:r>
            <a:rPr kumimoji="1" lang="ja-JP" altLang="en-US" sz="900">
              <a:solidFill>
                <a:srgbClr val="FF0000"/>
              </a:solidFill>
            </a:rPr>
            <a:t>以外の時は、決算時に提出すること</a:t>
          </a:r>
        </a:p>
      </xdr:txBody>
    </xdr:sp>
    <xdr:clientData/>
  </xdr:twoCellAnchor>
  <xdr:twoCellAnchor>
    <xdr:from>
      <xdr:col>12</xdr:col>
      <xdr:colOff>100853</xdr:colOff>
      <xdr:row>0</xdr:row>
      <xdr:rowOff>44824</xdr:rowOff>
    </xdr:from>
    <xdr:to>
      <xdr:col>16</xdr:col>
      <xdr:colOff>694765</xdr:colOff>
      <xdr:row>1</xdr:row>
      <xdr:rowOff>134471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3777394-8ED2-4AAA-80D2-F7CB2A42D999}"/>
            </a:ext>
          </a:extLst>
        </xdr:cNvPr>
        <xdr:cNvSpPr txBox="1"/>
      </xdr:nvSpPr>
      <xdr:spPr>
        <a:xfrm>
          <a:off x="11568953" y="44824"/>
          <a:ext cx="4927787" cy="2706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ここは、雪印分（</a:t>
          </a:r>
          <a:r>
            <a:rPr kumimoji="1" lang="en-US" altLang="ja-JP" sz="1100"/>
            <a:t>=</a:t>
          </a:r>
          <a:r>
            <a:rPr kumimoji="1" lang="ja-JP" altLang="en-US" sz="1100"/>
            <a:t>みちのく負担分）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11206</xdr:colOff>
      <xdr:row>0</xdr:row>
      <xdr:rowOff>67235</xdr:rowOff>
    </xdr:from>
    <xdr:to>
      <xdr:col>9</xdr:col>
      <xdr:colOff>112060</xdr:colOff>
      <xdr:row>2</xdr:row>
      <xdr:rowOff>22411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9C22565-7A35-4816-AF7F-0C6604492377}"/>
            </a:ext>
          </a:extLst>
        </xdr:cNvPr>
        <xdr:cNvSpPr txBox="1"/>
      </xdr:nvSpPr>
      <xdr:spPr>
        <a:xfrm>
          <a:off x="2823882" y="67235"/>
          <a:ext cx="4291854" cy="313764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決算時に会計士へ報告すること　　</a:t>
          </a:r>
          <a:r>
            <a:rPr kumimoji="1" lang="ja-JP" altLang="en-US" sz="1100">
              <a:solidFill>
                <a:srgbClr val="FF0000"/>
              </a:solidFill>
            </a:rPr>
            <a:t>（輸入品消費税内訳書）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324970</xdr:colOff>
      <xdr:row>0</xdr:row>
      <xdr:rowOff>56029</xdr:rowOff>
    </xdr:from>
    <xdr:to>
      <xdr:col>1</xdr:col>
      <xdr:colOff>649940</xdr:colOff>
      <xdr:row>2</xdr:row>
      <xdr:rowOff>291352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E16BB11-4CAF-46DC-BD13-C24C7FA53582}"/>
            </a:ext>
          </a:extLst>
        </xdr:cNvPr>
        <xdr:cNvSpPr txBox="1"/>
      </xdr:nvSpPr>
      <xdr:spPr>
        <a:xfrm>
          <a:off x="324970" y="56029"/>
          <a:ext cx="1400735" cy="5939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通関書類を見て、</a:t>
          </a:r>
          <a:endParaRPr kumimoji="1" lang="en-US" altLang="ja-JP" sz="1100"/>
        </a:p>
        <a:p>
          <a:r>
            <a:rPr kumimoji="1" lang="ja-JP" altLang="en-US" sz="1100"/>
            <a:t>記入すること！！</a:t>
          </a:r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9</xdr:col>
      <xdr:colOff>100853</xdr:colOff>
      <xdr:row>0</xdr:row>
      <xdr:rowOff>11206</xdr:rowOff>
    </xdr:from>
    <xdr:to>
      <xdr:col>12</xdr:col>
      <xdr:colOff>123264</xdr:colOff>
      <xdr:row>2</xdr:row>
      <xdr:rowOff>246530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76DEE33-833C-4D0A-B249-95574D333071}"/>
            </a:ext>
          </a:extLst>
        </xdr:cNvPr>
        <xdr:cNvSpPr txBox="1"/>
      </xdr:nvSpPr>
      <xdr:spPr>
        <a:xfrm>
          <a:off x="7104529" y="11206"/>
          <a:ext cx="2667000" cy="5939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ここは、全体の金額</a:t>
          </a:r>
          <a:endParaRPr kumimoji="1" lang="en-US" altLang="ja-JP" sz="900"/>
        </a:p>
        <a:p>
          <a:r>
            <a:rPr kumimoji="1" lang="ja-JP" altLang="en-US" sz="900"/>
            <a:t>輸入許可通知書の</a:t>
          </a:r>
          <a:r>
            <a:rPr kumimoji="1" lang="en-US" altLang="ja-JP" sz="900"/>
            <a:t>1/2</a:t>
          </a:r>
          <a:r>
            <a:rPr kumimoji="1" lang="ja-JP" altLang="en-US" sz="900"/>
            <a:t>左下側税科目欄を見て確認</a:t>
          </a:r>
          <a:endParaRPr kumimoji="1" lang="en-US" altLang="ja-JP" sz="900"/>
        </a:p>
        <a:p>
          <a:r>
            <a:rPr kumimoji="1" lang="en-US" altLang="ja-JP" sz="900">
              <a:solidFill>
                <a:srgbClr val="FF0000"/>
              </a:solidFill>
            </a:rPr>
            <a:t>D</a:t>
          </a:r>
          <a:r>
            <a:rPr kumimoji="1" lang="ja-JP" altLang="en-US" sz="900">
              <a:solidFill>
                <a:srgbClr val="FF0000"/>
              </a:solidFill>
            </a:rPr>
            <a:t>関税が</a:t>
          </a:r>
          <a:r>
            <a:rPr kumimoji="1" lang="en-US" altLang="ja-JP" sz="900">
              <a:solidFill>
                <a:srgbClr val="FF0000"/>
              </a:solidFill>
            </a:rPr>
            <a:t>0</a:t>
          </a:r>
          <a:r>
            <a:rPr kumimoji="1" lang="ja-JP" altLang="en-US" sz="900">
              <a:solidFill>
                <a:srgbClr val="FF0000"/>
              </a:solidFill>
            </a:rPr>
            <a:t>以外の時は、決算時に提出すること</a:t>
          </a:r>
        </a:p>
      </xdr:txBody>
    </xdr:sp>
    <xdr:clientData/>
  </xdr:twoCellAnchor>
  <xdr:twoCellAnchor>
    <xdr:from>
      <xdr:col>12</xdr:col>
      <xdr:colOff>100853</xdr:colOff>
      <xdr:row>0</xdr:row>
      <xdr:rowOff>44824</xdr:rowOff>
    </xdr:from>
    <xdr:to>
      <xdr:col>16</xdr:col>
      <xdr:colOff>694765</xdr:colOff>
      <xdr:row>1</xdr:row>
      <xdr:rowOff>134471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7F84207-5B1E-469F-BE21-72B887FC4B94}"/>
            </a:ext>
          </a:extLst>
        </xdr:cNvPr>
        <xdr:cNvSpPr txBox="1"/>
      </xdr:nvSpPr>
      <xdr:spPr>
        <a:xfrm>
          <a:off x="9749118" y="44824"/>
          <a:ext cx="4930588" cy="268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ここは、雪印分（</a:t>
          </a:r>
          <a:r>
            <a:rPr kumimoji="1" lang="en-US" altLang="ja-JP" sz="1100"/>
            <a:t>=</a:t>
          </a:r>
          <a:r>
            <a:rPr kumimoji="1" lang="ja-JP" altLang="en-US" sz="1100"/>
            <a:t>みちのく負担分）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593912</xdr:colOff>
      <xdr:row>11</xdr:row>
      <xdr:rowOff>246529</xdr:rowOff>
    </xdr:from>
    <xdr:to>
      <xdr:col>6</xdr:col>
      <xdr:colOff>100854</xdr:colOff>
      <xdr:row>13</xdr:row>
      <xdr:rowOff>22411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E42CA83-B568-4E59-8098-377E79E59B18}"/>
            </a:ext>
          </a:extLst>
        </xdr:cNvPr>
        <xdr:cNvSpPr txBox="1"/>
      </xdr:nvSpPr>
      <xdr:spPr>
        <a:xfrm>
          <a:off x="5076265" y="3697941"/>
          <a:ext cx="605118" cy="358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USA</a:t>
          </a:r>
          <a:r>
            <a:rPr kumimoji="1" lang="ja-JP" altLang="en-US" sz="1100"/>
            <a:t>↑</a:t>
          </a:r>
        </a:p>
      </xdr:txBody>
    </xdr:sp>
    <xdr:clientData/>
  </xdr:twoCellAnchor>
  <xdr:twoCellAnchor>
    <xdr:from>
      <xdr:col>5</xdr:col>
      <xdr:colOff>549088</xdr:colOff>
      <xdr:row>14</xdr:row>
      <xdr:rowOff>22411</xdr:rowOff>
    </xdr:from>
    <xdr:to>
      <xdr:col>6</xdr:col>
      <xdr:colOff>56030</xdr:colOff>
      <xdr:row>15</xdr:row>
      <xdr:rowOff>89646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A344689-B313-49C6-8CE1-45D0947F5F9F}"/>
            </a:ext>
          </a:extLst>
        </xdr:cNvPr>
        <xdr:cNvSpPr txBox="1"/>
      </xdr:nvSpPr>
      <xdr:spPr>
        <a:xfrm>
          <a:off x="5031441" y="4347882"/>
          <a:ext cx="605118" cy="358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BRZ</a:t>
          </a:r>
          <a:r>
            <a:rPr kumimoji="1" lang="ja-JP" altLang="en-US" sz="1100"/>
            <a:t>↓</a:t>
          </a:r>
        </a:p>
      </xdr:txBody>
    </xdr:sp>
    <xdr:clientData/>
  </xdr:twoCellAnchor>
  <xdr:twoCellAnchor>
    <xdr:from>
      <xdr:col>5</xdr:col>
      <xdr:colOff>571500</xdr:colOff>
      <xdr:row>24</xdr:row>
      <xdr:rowOff>0</xdr:rowOff>
    </xdr:from>
    <xdr:to>
      <xdr:col>6</xdr:col>
      <xdr:colOff>78442</xdr:colOff>
      <xdr:row>25</xdr:row>
      <xdr:rowOff>67235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E0B0C57-3D7A-4798-97A7-8D2F7C020B06}"/>
            </a:ext>
          </a:extLst>
        </xdr:cNvPr>
        <xdr:cNvSpPr txBox="1"/>
      </xdr:nvSpPr>
      <xdr:spPr>
        <a:xfrm>
          <a:off x="5053853" y="7239000"/>
          <a:ext cx="605118" cy="358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USA</a:t>
          </a:r>
          <a:r>
            <a:rPr kumimoji="1" lang="ja-JP" altLang="en-US" sz="1100"/>
            <a:t>↓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676275</xdr:colOff>
      <xdr:row>9</xdr:row>
      <xdr:rowOff>38100</xdr:rowOff>
    </xdr:from>
    <xdr:to>
      <xdr:col>14</xdr:col>
      <xdr:colOff>47625</xdr:colOff>
      <xdr:row>14</xdr:row>
      <xdr:rowOff>200025</xdr:rowOff>
    </xdr:to>
    <xdr:pic>
      <xdr:nvPicPr>
        <xdr:cNvPr id="5697" name="Picture 1">
          <a:extLst>
            <a:ext uri="{FF2B5EF4-FFF2-40B4-BE49-F238E27FC236}">
              <a16:creationId xmlns:a16="http://schemas.microsoft.com/office/drawing/2014/main" id="{32FF4EC0-5B9B-42E6-9313-16F06DD96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924050"/>
          <a:ext cx="31623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66675</xdr:colOff>
      <xdr:row>17</xdr:row>
      <xdr:rowOff>47625</xdr:rowOff>
    </xdr:from>
    <xdr:to>
      <xdr:col>11</xdr:col>
      <xdr:colOff>1295400</xdr:colOff>
      <xdr:row>19</xdr:row>
      <xdr:rowOff>209550</xdr:rowOff>
    </xdr:to>
    <xdr:grpSp>
      <xdr:nvGrpSpPr>
        <xdr:cNvPr id="5698" name="Group 2">
          <a:extLst>
            <a:ext uri="{FF2B5EF4-FFF2-40B4-BE49-F238E27FC236}">
              <a16:creationId xmlns:a16="http://schemas.microsoft.com/office/drawing/2014/main" id="{D619945F-0D14-4192-A641-7298BFC20585}"/>
            </a:ext>
          </a:extLst>
        </xdr:cNvPr>
        <xdr:cNvGrpSpPr>
          <a:grpSpLocks/>
        </xdr:cNvGrpSpPr>
      </xdr:nvGrpSpPr>
      <xdr:grpSpPr bwMode="auto">
        <a:xfrm>
          <a:off x="5534025" y="3486150"/>
          <a:ext cx="1228725" cy="638175"/>
          <a:chOff x="530" y="305"/>
          <a:chExt cx="142" cy="63"/>
        </a:xfrm>
      </xdr:grpSpPr>
      <xdr:sp macro="" textlink="">
        <xdr:nvSpPr>
          <xdr:cNvPr id="5699" name="Rectangle 3">
            <a:extLst>
              <a:ext uri="{FF2B5EF4-FFF2-40B4-BE49-F238E27FC236}">
                <a16:creationId xmlns:a16="http://schemas.microsoft.com/office/drawing/2014/main" id="{8A51DE6D-A530-463F-AE0E-0F424BA670B4}"/>
              </a:ext>
            </a:extLst>
          </xdr:cNvPr>
          <xdr:cNvSpPr>
            <a:spLocks noChangeArrowheads="1"/>
          </xdr:cNvSpPr>
        </xdr:nvSpPr>
        <xdr:spPr bwMode="auto">
          <a:xfrm>
            <a:off x="530" y="305"/>
            <a:ext cx="71" cy="6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700" name="Rectangle 4">
            <a:extLst>
              <a:ext uri="{FF2B5EF4-FFF2-40B4-BE49-F238E27FC236}">
                <a16:creationId xmlns:a16="http://schemas.microsoft.com/office/drawing/2014/main" id="{2E70F8F8-B8F7-44A6-B4F5-4A98A0E1B41E}"/>
              </a:ext>
            </a:extLst>
          </xdr:cNvPr>
          <xdr:cNvSpPr>
            <a:spLocks noChangeArrowheads="1"/>
          </xdr:cNvSpPr>
        </xdr:nvSpPr>
        <xdr:spPr bwMode="auto">
          <a:xfrm>
            <a:off x="601" y="305"/>
            <a:ext cx="71" cy="6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676275</xdr:colOff>
      <xdr:row>9</xdr:row>
      <xdr:rowOff>38100</xdr:rowOff>
    </xdr:from>
    <xdr:to>
      <xdr:col>14</xdr:col>
      <xdr:colOff>85725</xdr:colOff>
      <xdr:row>14</xdr:row>
      <xdr:rowOff>200025</xdr:rowOff>
    </xdr:to>
    <xdr:pic>
      <xdr:nvPicPr>
        <xdr:cNvPr id="7745" name="Picture 1">
          <a:extLst>
            <a:ext uri="{FF2B5EF4-FFF2-40B4-BE49-F238E27FC236}">
              <a16:creationId xmlns:a16="http://schemas.microsoft.com/office/drawing/2014/main" id="{35154A9D-96FA-4F6B-92E4-E8D1A46F9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924050"/>
          <a:ext cx="31623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66675</xdr:colOff>
      <xdr:row>17</xdr:row>
      <xdr:rowOff>47625</xdr:rowOff>
    </xdr:from>
    <xdr:to>
      <xdr:col>11</xdr:col>
      <xdr:colOff>1295400</xdr:colOff>
      <xdr:row>19</xdr:row>
      <xdr:rowOff>209550</xdr:rowOff>
    </xdr:to>
    <xdr:grpSp>
      <xdr:nvGrpSpPr>
        <xdr:cNvPr id="7746" name="Group 2">
          <a:extLst>
            <a:ext uri="{FF2B5EF4-FFF2-40B4-BE49-F238E27FC236}">
              <a16:creationId xmlns:a16="http://schemas.microsoft.com/office/drawing/2014/main" id="{803445DF-D788-4B1F-85BA-7A03B942D96E}"/>
            </a:ext>
          </a:extLst>
        </xdr:cNvPr>
        <xdr:cNvGrpSpPr>
          <a:grpSpLocks/>
        </xdr:cNvGrpSpPr>
      </xdr:nvGrpSpPr>
      <xdr:grpSpPr bwMode="auto">
        <a:xfrm>
          <a:off x="5534025" y="3486150"/>
          <a:ext cx="1228725" cy="638175"/>
          <a:chOff x="530" y="305"/>
          <a:chExt cx="142" cy="63"/>
        </a:xfrm>
      </xdr:grpSpPr>
      <xdr:sp macro="" textlink="">
        <xdr:nvSpPr>
          <xdr:cNvPr id="7747" name="Rectangle 3">
            <a:extLst>
              <a:ext uri="{FF2B5EF4-FFF2-40B4-BE49-F238E27FC236}">
                <a16:creationId xmlns:a16="http://schemas.microsoft.com/office/drawing/2014/main" id="{83D6239F-48A9-4EAC-8A6C-21EB3F8DF0F2}"/>
              </a:ext>
            </a:extLst>
          </xdr:cNvPr>
          <xdr:cNvSpPr>
            <a:spLocks noChangeArrowheads="1"/>
          </xdr:cNvSpPr>
        </xdr:nvSpPr>
        <xdr:spPr bwMode="auto">
          <a:xfrm>
            <a:off x="530" y="305"/>
            <a:ext cx="71" cy="6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7748" name="Rectangle 4">
            <a:extLst>
              <a:ext uri="{FF2B5EF4-FFF2-40B4-BE49-F238E27FC236}">
                <a16:creationId xmlns:a16="http://schemas.microsoft.com/office/drawing/2014/main" id="{6F891487-DC54-40A6-9033-CC5DA77AAB58}"/>
              </a:ext>
            </a:extLst>
          </xdr:cNvPr>
          <xdr:cNvSpPr>
            <a:spLocks noChangeArrowheads="1"/>
          </xdr:cNvSpPr>
        </xdr:nvSpPr>
        <xdr:spPr bwMode="auto">
          <a:xfrm>
            <a:off x="601" y="305"/>
            <a:ext cx="71" cy="6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CHINOK からのクエリ" connectionId="1" xr16:uid="{FF36E82F-AD4E-4345-AC80-EC3A3A6FE8AD}" autoFormatId="20" applyNumberFormats="0" applyBorderFormats="0" applyFontFormats="0" applyPatternFormats="0" applyAlignmentFormats="0" applyWidthHeightFormats="0">
  <queryTableRefresh nextId="13" unboundColumnsRight="2">
    <queryTableFields count="8">
      <queryTableField id="1" name="TUKAN_DATE" tableColumnId="1"/>
      <queryTableField id="2" name="TUKAN_NUM" tableColumnId="2"/>
      <queryTableField id="3" name="SYOYUSYA_CODE" tableColumnId="3"/>
      <queryTableField id="4" name="SURY" tableColumnId="4"/>
      <queryTableField id="5" name="TUKAN_KING" tableColumnId="5"/>
      <queryTableField id="6" name="GENRYO_CODE" tableColumnId="6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B922F2-5C6A-4186-9D9B-EC407259401B}" name="テーブル_MICHINOK_からのクエリ" displayName="テーブル_MICHINOK_からのクエリ" ref="B2:I913" tableType="queryTable" totalsRowShown="0">
  <autoFilter ref="B2:I913" xr:uid="{A0B922F2-5C6A-4186-9D9B-EC407259401B}"/>
  <sortState xmlns:xlrd2="http://schemas.microsoft.com/office/spreadsheetml/2017/richdata2" ref="B3:I913">
    <sortCondition ref="B2:B913"/>
  </sortState>
  <tableColumns count="8">
    <tableColumn id="1" xr3:uid="{7F9A1E85-A501-4749-A645-7FBC80AF604F}" uniqueName="1" name="TUKAN_DATE" queryTableFieldId="1" dataDxfId="0"/>
    <tableColumn id="2" xr3:uid="{C26300A2-292B-4094-B8C7-F48168604615}" uniqueName="2" name="TUKAN_NUM" queryTableFieldId="2"/>
    <tableColumn id="3" xr3:uid="{45408A99-CCF4-4E96-AEB0-63A269C944A8}" uniqueName="3" name="SYOYUSYA_CODE" queryTableFieldId="3"/>
    <tableColumn id="4" xr3:uid="{BCC2288A-284E-420C-A2EA-309FC8BE648A}" uniqueName="4" name="SURY" queryTableFieldId="4"/>
    <tableColumn id="5" xr3:uid="{95BFB270-2290-40B5-B471-CECB61D7E2E3}" uniqueName="5" name="TUKAN_KING" queryTableFieldId="5"/>
    <tableColumn id="6" xr3:uid="{74049564-099A-4A0A-904D-F94A88D245C9}" uniqueName="6" name="GENRYO_CODE" queryTableFieldId="6"/>
    <tableColumn id="10" xr3:uid="{906C37EF-9EE2-45F3-82EC-545E21D137B3}" uniqueName="10" name="列1" queryTableFieldId="10" dataDxfId="2">
      <calculatedColumnFormula>IF(C3=C2,"",COUNTIF(G3,1000)+COUNTIF(G3,2000))</calculatedColumnFormula>
    </tableColumn>
    <tableColumn id="11" xr3:uid="{7A25123D-8FF0-4480-A79C-02771AE3FE20}" uniqueName="11" name="列2" queryTableFieldId="11" dataDxfId="1">
      <calculatedColumnFormula>IF(H3=0,"",IF(C3=C2,"",SUM($H$3:H3)))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5519-DFDE-44F4-B174-3F17799993FF}">
  <dimension ref="B1:L913"/>
  <sheetViews>
    <sheetView tabSelected="1" workbookViewId="0">
      <selection activeCell="L3" sqref="L3"/>
    </sheetView>
  </sheetViews>
  <sheetFormatPr defaultRowHeight="15.75"/>
  <cols>
    <col min="2" max="2" width="17.375" bestFit="1" customWidth="1"/>
    <col min="3" max="3" width="17.125" bestFit="1" customWidth="1"/>
    <col min="4" max="4" width="21.5" bestFit="1" customWidth="1"/>
    <col min="5" max="5" width="8.875" bestFit="1" customWidth="1"/>
    <col min="6" max="6" width="17.375" bestFit="1" customWidth="1"/>
    <col min="7" max="7" width="18.875" bestFit="1" customWidth="1"/>
    <col min="8" max="9" width="7.125" bestFit="1" customWidth="1"/>
  </cols>
  <sheetData>
    <row r="1" spans="2:12">
      <c r="B1" s="167">
        <v>45748</v>
      </c>
      <c r="C1" s="165" t="str">
        <f>TEXT(B1,"YYYY-mm-dd")</f>
        <v>2025-04-01</v>
      </c>
      <c r="E1" s="166"/>
    </row>
    <row r="2" spans="2:12"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131</v>
      </c>
      <c r="H2" t="s">
        <v>146</v>
      </c>
      <c r="I2" t="s">
        <v>147</v>
      </c>
    </row>
    <row r="3" spans="2:12">
      <c r="B3" s="164">
        <v>45762</v>
      </c>
      <c r="C3" t="s">
        <v>144</v>
      </c>
      <c r="D3">
        <v>2</v>
      </c>
      <c r="E3">
        <v>315000</v>
      </c>
      <c r="F3">
        <v>12118704</v>
      </c>
      <c r="G3">
        <v>2000</v>
      </c>
      <c r="H3">
        <f>IF(C3=C2,"",COUNTIF(G3,1000)+COUNTIF(G3,2000))</f>
        <v>1</v>
      </c>
      <c r="I3">
        <f>IF(H3=0,"",IF(C3=C2,"",SUM($H$3:H3)))</f>
        <v>1</v>
      </c>
      <c r="L3" s="194" t="s">
        <v>148</v>
      </c>
    </row>
    <row r="4" spans="2:12">
      <c r="B4" s="164">
        <v>45762</v>
      </c>
      <c r="C4" t="s">
        <v>144</v>
      </c>
      <c r="D4">
        <v>2</v>
      </c>
      <c r="E4">
        <v>315000</v>
      </c>
      <c r="F4">
        <v>12118704</v>
      </c>
      <c r="G4">
        <v>2000</v>
      </c>
      <c r="H4" t="str">
        <f>IF(C4=C3,"",COUNTIF(G4,1000)+COUNTIF(G4,2000))</f>
        <v/>
      </c>
      <c r="I4" t="str">
        <f>IF(H4=0,"",IF(C4=C3,"",SUM($H$3:H4)))</f>
        <v/>
      </c>
      <c r="L4" s="194" t="s">
        <v>149</v>
      </c>
    </row>
    <row r="5" spans="2:12">
      <c r="B5" s="164">
        <v>45762</v>
      </c>
      <c r="C5" t="s">
        <v>144</v>
      </c>
      <c r="D5">
        <v>2</v>
      </c>
      <c r="E5">
        <v>315000</v>
      </c>
      <c r="F5">
        <v>12118704</v>
      </c>
      <c r="G5">
        <v>2000</v>
      </c>
      <c r="H5" t="str">
        <f>IF(C5=C4,"",COUNTIF(G5,1000)+COUNTIF(G5,2000))</f>
        <v/>
      </c>
      <c r="I5" t="str">
        <f>IF(H5=0,"",IF(C5=C4,"",SUM($H$3:H5)))</f>
        <v/>
      </c>
    </row>
    <row r="6" spans="2:12">
      <c r="B6" s="164">
        <v>45762</v>
      </c>
      <c r="C6" t="s">
        <v>144</v>
      </c>
      <c r="D6">
        <v>2</v>
      </c>
      <c r="E6">
        <v>315000</v>
      </c>
      <c r="F6">
        <v>12118704</v>
      </c>
      <c r="G6">
        <v>2000</v>
      </c>
      <c r="H6" t="str">
        <f>IF(C6=C5,"",COUNTIF(G6,1000)+COUNTIF(G6,2000))</f>
        <v/>
      </c>
      <c r="I6" t="str">
        <f>IF(H6=0,"",IF(C6=C5,"",SUM($H$3:H6)))</f>
        <v/>
      </c>
    </row>
    <row r="7" spans="2:12">
      <c r="B7" s="164">
        <v>45762</v>
      </c>
      <c r="C7" t="s">
        <v>144</v>
      </c>
      <c r="D7">
        <v>2</v>
      </c>
      <c r="E7">
        <v>315000</v>
      </c>
      <c r="F7">
        <v>12118704</v>
      </c>
      <c r="G7">
        <v>2000</v>
      </c>
      <c r="H7" t="str">
        <f>IF(C7=C6,"",COUNTIF(G7,1000)+COUNTIF(G7,2000))</f>
        <v/>
      </c>
      <c r="I7" t="str">
        <f>IF(H7=0,"",IF(C7=C6,"",SUM($H$3:H7)))</f>
        <v/>
      </c>
    </row>
    <row r="8" spans="2:12">
      <c r="B8" s="164">
        <v>45762</v>
      </c>
      <c r="C8" t="s">
        <v>144</v>
      </c>
      <c r="D8">
        <v>2</v>
      </c>
      <c r="E8">
        <v>315000</v>
      </c>
      <c r="F8">
        <v>12118704</v>
      </c>
      <c r="G8">
        <v>2000</v>
      </c>
      <c r="H8" t="str">
        <f>IF(C8=C7,"",COUNTIF(G8,1000)+COUNTIF(G8,2000))</f>
        <v/>
      </c>
      <c r="I8" t="str">
        <f>IF(H8=0,"",IF(C8=C7,"",SUM($H$3:H8)))</f>
        <v/>
      </c>
    </row>
    <row r="9" spans="2:12">
      <c r="B9" s="164">
        <v>45762</v>
      </c>
      <c r="C9" t="s">
        <v>144</v>
      </c>
      <c r="D9">
        <v>2</v>
      </c>
      <c r="E9">
        <v>315000</v>
      </c>
      <c r="F9">
        <v>12118704</v>
      </c>
      <c r="G9">
        <v>2000</v>
      </c>
      <c r="H9" t="str">
        <f>IF(C9=C8,"",COUNTIF(G9,1000)+COUNTIF(G9,2000))</f>
        <v/>
      </c>
      <c r="I9" t="str">
        <f>IF(H9=0,"",IF(C9=C8,"",SUM($H$3:H9)))</f>
        <v/>
      </c>
    </row>
    <row r="10" spans="2:12">
      <c r="B10" s="164">
        <v>45762</v>
      </c>
      <c r="C10" t="s">
        <v>144</v>
      </c>
      <c r="D10">
        <v>2</v>
      </c>
      <c r="E10">
        <v>315000</v>
      </c>
      <c r="F10">
        <v>12118704</v>
      </c>
      <c r="G10">
        <v>2000</v>
      </c>
      <c r="H10" t="str">
        <f>IF(C10=C9,"",COUNTIF(G10,1000)+COUNTIF(G10,2000))</f>
        <v/>
      </c>
      <c r="I10" t="str">
        <f>IF(H10=0,"",IF(C10=C9,"",SUM($H$3:H10)))</f>
        <v/>
      </c>
    </row>
    <row r="11" spans="2:12">
      <c r="B11" s="164">
        <v>45762</v>
      </c>
      <c r="C11" t="s">
        <v>144</v>
      </c>
      <c r="D11">
        <v>2</v>
      </c>
      <c r="E11">
        <v>315000</v>
      </c>
      <c r="F11">
        <v>12118704</v>
      </c>
      <c r="G11">
        <v>2000</v>
      </c>
      <c r="H11" t="str">
        <f>IF(C11=C10,"",COUNTIF(G11,1000)+COUNTIF(G11,2000))</f>
        <v/>
      </c>
      <c r="I11" t="str">
        <f>IF(H11=0,"",IF(C11=C10,"",SUM($H$3:H11)))</f>
        <v/>
      </c>
    </row>
    <row r="12" spans="2:12">
      <c r="B12" s="164">
        <v>45762</v>
      </c>
      <c r="C12" t="s">
        <v>144</v>
      </c>
      <c r="D12">
        <v>2</v>
      </c>
      <c r="E12">
        <v>315000</v>
      </c>
      <c r="F12">
        <v>12118704</v>
      </c>
      <c r="G12">
        <v>2000</v>
      </c>
      <c r="H12" t="str">
        <f>IF(C12=C11,"",COUNTIF(G12,1000)+COUNTIF(G12,2000))</f>
        <v/>
      </c>
      <c r="I12" t="str">
        <f>IF(H12=0,"",IF(C12=C11,"",SUM($H$3:H12)))</f>
        <v/>
      </c>
    </row>
    <row r="13" spans="2:12">
      <c r="B13" s="164">
        <v>45762</v>
      </c>
      <c r="C13" t="s">
        <v>144</v>
      </c>
      <c r="D13">
        <v>2</v>
      </c>
      <c r="E13">
        <v>315000</v>
      </c>
      <c r="F13">
        <v>12118704</v>
      </c>
      <c r="G13">
        <v>2000</v>
      </c>
      <c r="H13" t="str">
        <f>IF(C13=C12,"",COUNTIF(G13,1000)+COUNTIF(G13,2000))</f>
        <v/>
      </c>
      <c r="I13" t="str">
        <f>IF(H13=0,"",IF(C13=C12,"",SUM($H$3:H13)))</f>
        <v/>
      </c>
    </row>
    <row r="14" spans="2:12">
      <c r="B14" s="164">
        <v>45762</v>
      </c>
      <c r="C14" t="s">
        <v>144</v>
      </c>
      <c r="D14">
        <v>2</v>
      </c>
      <c r="E14">
        <v>315000</v>
      </c>
      <c r="F14">
        <v>12118704</v>
      </c>
      <c r="G14">
        <v>2000</v>
      </c>
      <c r="H14" t="str">
        <f>IF(C14=C13,"",COUNTIF(G14,1000)+COUNTIF(G14,2000))</f>
        <v/>
      </c>
      <c r="I14" t="str">
        <f>IF(H14=0,"",IF(C14=C13,"",SUM($H$3:H14)))</f>
        <v/>
      </c>
    </row>
    <row r="15" spans="2:12">
      <c r="B15" s="164">
        <v>45762</v>
      </c>
      <c r="C15" t="s">
        <v>144</v>
      </c>
      <c r="D15">
        <v>2</v>
      </c>
      <c r="E15">
        <v>315000</v>
      </c>
      <c r="F15">
        <v>12118704</v>
      </c>
      <c r="G15">
        <v>2000</v>
      </c>
      <c r="H15" t="str">
        <f>IF(C15=C14,"",COUNTIF(G15,1000)+COUNTIF(G15,2000))</f>
        <v/>
      </c>
      <c r="I15" t="str">
        <f>IF(H15=0,"",IF(C15=C14,"",SUM($H$3:H15)))</f>
        <v/>
      </c>
    </row>
    <row r="16" spans="2:12">
      <c r="B16" s="164">
        <v>45762</v>
      </c>
      <c r="C16" t="s">
        <v>144</v>
      </c>
      <c r="D16">
        <v>2</v>
      </c>
      <c r="E16">
        <v>315000</v>
      </c>
      <c r="F16">
        <v>12118704</v>
      </c>
      <c r="G16">
        <v>2000</v>
      </c>
      <c r="H16" t="str">
        <f>IF(C16=C15,"",COUNTIF(G16,1000)+COUNTIF(G16,2000))</f>
        <v/>
      </c>
      <c r="I16" t="str">
        <f>IF(H16=0,"",IF(C16=C15,"",SUM($H$3:H16)))</f>
        <v/>
      </c>
    </row>
    <row r="17" spans="2:9">
      <c r="B17" s="164">
        <v>45762</v>
      </c>
      <c r="C17" t="s">
        <v>144</v>
      </c>
      <c r="D17">
        <v>2</v>
      </c>
      <c r="E17">
        <v>315000</v>
      </c>
      <c r="F17">
        <v>12118704</v>
      </c>
      <c r="G17">
        <v>2000</v>
      </c>
      <c r="H17" t="str">
        <f>IF(C17=C16,"",COUNTIF(G17,1000)+COUNTIF(G17,2000))</f>
        <v/>
      </c>
      <c r="I17" t="str">
        <f>IF(H17=0,"",IF(C17=C16,"",SUM($H$3:H17)))</f>
        <v/>
      </c>
    </row>
    <row r="18" spans="2:9">
      <c r="B18" s="164">
        <v>45762</v>
      </c>
      <c r="C18" t="s">
        <v>144</v>
      </c>
      <c r="D18">
        <v>2</v>
      </c>
      <c r="E18">
        <v>315000</v>
      </c>
      <c r="F18">
        <v>12118704</v>
      </c>
      <c r="G18">
        <v>2000</v>
      </c>
      <c r="H18" t="str">
        <f>IF(C18=C17,"",COUNTIF(G18,1000)+COUNTIF(G18,2000))</f>
        <v/>
      </c>
      <c r="I18" t="str">
        <f>IF(H18=0,"",IF(C18=C17,"",SUM($H$3:H18)))</f>
        <v/>
      </c>
    </row>
    <row r="19" spans="2:9">
      <c r="B19" s="164">
        <v>45762</v>
      </c>
      <c r="C19" t="s">
        <v>144</v>
      </c>
      <c r="D19">
        <v>2</v>
      </c>
      <c r="E19">
        <v>315000</v>
      </c>
      <c r="F19">
        <v>12118704</v>
      </c>
      <c r="G19">
        <v>2000</v>
      </c>
      <c r="H19" t="str">
        <f>IF(C19=C18,"",COUNTIF(G19,1000)+COUNTIF(G19,2000))</f>
        <v/>
      </c>
      <c r="I19" t="str">
        <f>IF(H19=0,"",IF(C19=C18,"",SUM($H$3:H19)))</f>
        <v/>
      </c>
    </row>
    <row r="20" spans="2:9">
      <c r="B20" s="164">
        <v>45762</v>
      </c>
      <c r="C20" t="s">
        <v>144</v>
      </c>
      <c r="D20">
        <v>2</v>
      </c>
      <c r="E20">
        <v>315000</v>
      </c>
      <c r="F20">
        <v>12118704</v>
      </c>
      <c r="G20">
        <v>2000</v>
      </c>
      <c r="H20" t="str">
        <f>IF(C20=C19,"",COUNTIF(G20,1000)+COUNTIF(G20,2000))</f>
        <v/>
      </c>
      <c r="I20" t="str">
        <f>IF(H20=0,"",IF(C20=C19,"",SUM($H$3:H20)))</f>
        <v/>
      </c>
    </row>
    <row r="21" spans="2:9">
      <c r="B21" s="164">
        <v>45762</v>
      </c>
      <c r="C21" t="s">
        <v>144</v>
      </c>
      <c r="D21">
        <v>2</v>
      </c>
      <c r="E21">
        <v>315000</v>
      </c>
      <c r="F21">
        <v>12118704</v>
      </c>
      <c r="G21">
        <v>2000</v>
      </c>
      <c r="H21" t="str">
        <f>IF(C21=C20,"",COUNTIF(G21,1000)+COUNTIF(G21,2000))</f>
        <v/>
      </c>
      <c r="I21" t="str">
        <f>IF(H21=0,"",IF(C21=C20,"",SUM($H$3:H21)))</f>
        <v/>
      </c>
    </row>
    <row r="22" spans="2:9">
      <c r="B22" s="164">
        <v>45762</v>
      </c>
      <c r="C22" t="s">
        <v>144</v>
      </c>
      <c r="D22">
        <v>2</v>
      </c>
      <c r="E22">
        <v>315000</v>
      </c>
      <c r="F22">
        <v>12118704</v>
      </c>
      <c r="G22">
        <v>2000</v>
      </c>
      <c r="H22" t="str">
        <f>IF(C22=C21,"",COUNTIF(G22,1000)+COUNTIF(G22,2000))</f>
        <v/>
      </c>
      <c r="I22" t="str">
        <f>IF(H22=0,"",IF(C22=C21,"",SUM($H$3:H22)))</f>
        <v/>
      </c>
    </row>
    <row r="23" spans="2:9">
      <c r="B23" s="164">
        <v>45762</v>
      </c>
      <c r="C23" t="s">
        <v>144</v>
      </c>
      <c r="D23">
        <v>2</v>
      </c>
      <c r="E23">
        <v>315000</v>
      </c>
      <c r="F23">
        <v>12118704</v>
      </c>
      <c r="G23">
        <v>2000</v>
      </c>
      <c r="H23" t="str">
        <f>IF(C23=C22,"",COUNTIF(G23,1000)+COUNTIF(G23,2000))</f>
        <v/>
      </c>
      <c r="I23" t="str">
        <f>IF(H23=0,"",IF(C23=C22,"",SUM($H$3:H23)))</f>
        <v/>
      </c>
    </row>
    <row r="24" spans="2:9">
      <c r="B24" s="164">
        <v>45762</v>
      </c>
      <c r="C24" t="s">
        <v>144</v>
      </c>
      <c r="D24">
        <v>2</v>
      </c>
      <c r="E24">
        <v>315000</v>
      </c>
      <c r="F24">
        <v>12118704</v>
      </c>
      <c r="G24">
        <v>2000</v>
      </c>
      <c r="H24" t="str">
        <f>IF(C24=C23,"",COUNTIF(G24,1000)+COUNTIF(G24,2000))</f>
        <v/>
      </c>
      <c r="I24" t="str">
        <f>IF(H24=0,"",IF(C24=C23,"",SUM($H$3:H24)))</f>
        <v/>
      </c>
    </row>
    <row r="25" spans="2:9">
      <c r="B25" s="164">
        <v>45762</v>
      </c>
      <c r="C25" t="s">
        <v>144</v>
      </c>
      <c r="D25">
        <v>2</v>
      </c>
      <c r="E25">
        <v>315000</v>
      </c>
      <c r="F25">
        <v>12118704</v>
      </c>
      <c r="G25">
        <v>2000</v>
      </c>
      <c r="H25" t="str">
        <f>IF(C25=C24,"",COUNTIF(G25,1000)+COUNTIF(G25,2000))</f>
        <v/>
      </c>
      <c r="I25" t="str">
        <f>IF(H25=0,"",IF(C25=C24,"",SUM($H$3:H25)))</f>
        <v/>
      </c>
    </row>
    <row r="26" spans="2:9">
      <c r="B26" s="164">
        <v>45762</v>
      </c>
      <c r="C26" t="s">
        <v>144</v>
      </c>
      <c r="D26">
        <v>2</v>
      </c>
      <c r="E26">
        <v>315000</v>
      </c>
      <c r="F26">
        <v>12118704</v>
      </c>
      <c r="G26">
        <v>2000</v>
      </c>
      <c r="H26" t="str">
        <f>IF(C26=C25,"",COUNTIF(G26,1000)+COUNTIF(G26,2000))</f>
        <v/>
      </c>
      <c r="I26" t="str">
        <f>IF(H26=0,"",IF(C26=C25,"",SUM($H$3:H26)))</f>
        <v/>
      </c>
    </row>
    <row r="27" spans="2:9">
      <c r="B27" s="164">
        <v>45762</v>
      </c>
      <c r="C27" t="s">
        <v>144</v>
      </c>
      <c r="D27">
        <v>2</v>
      </c>
      <c r="E27">
        <v>315000</v>
      </c>
      <c r="F27">
        <v>12118704</v>
      </c>
      <c r="G27">
        <v>2000</v>
      </c>
      <c r="H27" t="str">
        <f>IF(C27=C26,"",COUNTIF(G27,1000)+COUNTIF(G27,2000))</f>
        <v/>
      </c>
      <c r="I27" t="str">
        <f>IF(H27=0,"",IF(C27=C26,"",SUM($H$3:H27)))</f>
        <v/>
      </c>
    </row>
    <row r="28" spans="2:9">
      <c r="B28" s="164">
        <v>45762</v>
      </c>
      <c r="C28" t="s">
        <v>144</v>
      </c>
      <c r="D28">
        <v>2</v>
      </c>
      <c r="E28">
        <v>315000</v>
      </c>
      <c r="F28">
        <v>12118704</v>
      </c>
      <c r="G28">
        <v>2000</v>
      </c>
      <c r="H28" t="str">
        <f>IF(C28=C27,"",COUNTIF(G28,1000)+COUNTIF(G28,2000))</f>
        <v/>
      </c>
      <c r="I28" t="str">
        <f>IF(H28=0,"",IF(C28=C27,"",SUM($H$3:H28)))</f>
        <v/>
      </c>
    </row>
    <row r="29" spans="2:9">
      <c r="B29" s="164">
        <v>45762</v>
      </c>
      <c r="C29" t="s">
        <v>132</v>
      </c>
      <c r="D29">
        <v>1</v>
      </c>
      <c r="E29">
        <v>950000</v>
      </c>
      <c r="F29">
        <v>37084443</v>
      </c>
      <c r="G29">
        <v>1000</v>
      </c>
      <c r="H29">
        <f>IF(C29=C28,"",COUNTIF(G29,1000)+COUNTIF(G29,2000))</f>
        <v>1</v>
      </c>
      <c r="I29">
        <f>IF(H29=0,"",IF(C29=C28,"",SUM($H$3:H29)))</f>
        <v>2</v>
      </c>
    </row>
    <row r="30" spans="2:9">
      <c r="B30" s="164">
        <v>45762</v>
      </c>
      <c r="C30" t="s">
        <v>132</v>
      </c>
      <c r="D30">
        <v>2</v>
      </c>
      <c r="E30">
        <v>950000</v>
      </c>
      <c r="F30">
        <v>37084443</v>
      </c>
      <c r="G30">
        <v>1000</v>
      </c>
      <c r="H30" t="str">
        <f>IF(C30=C29,"",COUNTIF(G30,1000)+COUNTIF(G30,2000))</f>
        <v/>
      </c>
      <c r="I30" t="str">
        <f>IF(H30=0,"",IF(C30=C29,"",SUM($H$3:H30)))</f>
        <v/>
      </c>
    </row>
    <row r="31" spans="2:9">
      <c r="B31" s="164">
        <v>45762</v>
      </c>
      <c r="C31" t="s">
        <v>132</v>
      </c>
      <c r="D31">
        <v>1</v>
      </c>
      <c r="E31">
        <v>950000</v>
      </c>
      <c r="F31">
        <v>37084443</v>
      </c>
      <c r="G31">
        <v>1000</v>
      </c>
      <c r="H31" t="str">
        <f>IF(C31=C30,"",COUNTIF(G31,1000)+COUNTIF(G31,2000))</f>
        <v/>
      </c>
      <c r="I31" t="str">
        <f>IF(H31=0,"",IF(C31=C30,"",SUM($H$3:H31)))</f>
        <v/>
      </c>
    </row>
    <row r="32" spans="2:9">
      <c r="B32" s="164">
        <v>45762</v>
      </c>
      <c r="C32" t="s">
        <v>132</v>
      </c>
      <c r="D32">
        <v>1</v>
      </c>
      <c r="E32">
        <v>950000</v>
      </c>
      <c r="F32">
        <v>37084443</v>
      </c>
      <c r="G32">
        <v>1000</v>
      </c>
      <c r="H32" t="str">
        <f>IF(C32=C31,"",COUNTIF(G32,1000)+COUNTIF(G32,2000))</f>
        <v/>
      </c>
      <c r="I32" t="str">
        <f>IF(H32=0,"",IF(C32=C31,"",SUM($H$3:H32)))</f>
        <v/>
      </c>
    </row>
    <row r="33" spans="2:9">
      <c r="B33" s="164">
        <v>45762</v>
      </c>
      <c r="C33" t="s">
        <v>132</v>
      </c>
      <c r="D33">
        <v>1</v>
      </c>
      <c r="E33">
        <v>950000</v>
      </c>
      <c r="F33">
        <v>37084443</v>
      </c>
      <c r="G33">
        <v>1000</v>
      </c>
      <c r="H33" t="str">
        <f>IF(C33=C32,"",COUNTIF(G33,1000)+COUNTIF(G33,2000))</f>
        <v/>
      </c>
      <c r="I33" t="str">
        <f>IF(H33=0,"",IF(C33=C32,"",SUM($H$3:H33)))</f>
        <v/>
      </c>
    </row>
    <row r="34" spans="2:9">
      <c r="B34" s="164">
        <v>45762</v>
      </c>
      <c r="C34" t="s">
        <v>132</v>
      </c>
      <c r="D34">
        <v>1</v>
      </c>
      <c r="E34">
        <v>950000</v>
      </c>
      <c r="F34">
        <v>37084443</v>
      </c>
      <c r="G34">
        <v>1000</v>
      </c>
      <c r="H34" t="str">
        <f>IF(C34=C33,"",COUNTIF(G34,1000)+COUNTIF(G34,2000))</f>
        <v/>
      </c>
      <c r="I34" t="str">
        <f>IF(H34=0,"",IF(C34=C33,"",SUM($H$3:H34)))</f>
        <v/>
      </c>
    </row>
    <row r="35" spans="2:9">
      <c r="B35" s="164">
        <v>45762</v>
      </c>
      <c r="C35" t="s">
        <v>132</v>
      </c>
      <c r="D35">
        <v>2</v>
      </c>
      <c r="E35">
        <v>950000</v>
      </c>
      <c r="F35">
        <v>37084443</v>
      </c>
      <c r="G35">
        <v>1000</v>
      </c>
      <c r="H35" t="str">
        <f>IF(C35=C34,"",COUNTIF(G35,1000)+COUNTIF(G35,2000))</f>
        <v/>
      </c>
      <c r="I35" t="str">
        <f>IF(H35=0,"",IF(C35=C34,"",SUM($H$3:H35)))</f>
        <v/>
      </c>
    </row>
    <row r="36" spans="2:9">
      <c r="B36" s="164">
        <v>45762</v>
      </c>
      <c r="C36" t="s">
        <v>132</v>
      </c>
      <c r="D36">
        <v>2</v>
      </c>
      <c r="E36">
        <v>950000</v>
      </c>
      <c r="F36">
        <v>37084443</v>
      </c>
      <c r="G36">
        <v>1000</v>
      </c>
      <c r="H36" t="str">
        <f>IF(C36=C35,"",COUNTIF(G36,1000)+COUNTIF(G36,2000))</f>
        <v/>
      </c>
      <c r="I36" t="str">
        <f>IF(H36=0,"",IF(C36=C35,"",SUM($H$3:H36)))</f>
        <v/>
      </c>
    </row>
    <row r="37" spans="2:9">
      <c r="B37" s="164">
        <v>45762</v>
      </c>
      <c r="C37" t="s">
        <v>132</v>
      </c>
      <c r="D37">
        <v>2</v>
      </c>
      <c r="E37">
        <v>950000</v>
      </c>
      <c r="F37">
        <v>37084443</v>
      </c>
      <c r="G37">
        <v>1000</v>
      </c>
      <c r="H37" t="str">
        <f>IF(C37=C36,"",COUNTIF(G37,1000)+COUNTIF(G37,2000))</f>
        <v/>
      </c>
      <c r="I37" t="str">
        <f>IF(H37=0,"",IF(C37=C36,"",SUM($H$3:H37)))</f>
        <v/>
      </c>
    </row>
    <row r="38" spans="2:9">
      <c r="B38" s="164">
        <v>45762</v>
      </c>
      <c r="C38" t="s">
        <v>132</v>
      </c>
      <c r="D38">
        <v>2</v>
      </c>
      <c r="E38">
        <v>950000</v>
      </c>
      <c r="F38">
        <v>37084443</v>
      </c>
      <c r="G38">
        <v>1000</v>
      </c>
      <c r="H38" t="str">
        <f>IF(C38=C37,"",COUNTIF(G38,1000)+COUNTIF(G38,2000))</f>
        <v/>
      </c>
      <c r="I38" t="str">
        <f>IF(H38=0,"",IF(C38=C37,"",SUM($H$3:H38)))</f>
        <v/>
      </c>
    </row>
    <row r="39" spans="2:9">
      <c r="B39" s="164">
        <v>45762</v>
      </c>
      <c r="C39" t="s">
        <v>132</v>
      </c>
      <c r="D39">
        <v>2</v>
      </c>
      <c r="E39">
        <v>950000</v>
      </c>
      <c r="F39">
        <v>37084443</v>
      </c>
      <c r="G39">
        <v>1000</v>
      </c>
      <c r="H39" t="str">
        <f>IF(C39=C38,"",COUNTIF(G39,1000)+COUNTIF(G39,2000))</f>
        <v/>
      </c>
      <c r="I39" t="str">
        <f>IF(H39=0,"",IF(C39=C38,"",SUM($H$3:H39)))</f>
        <v/>
      </c>
    </row>
    <row r="40" spans="2:9">
      <c r="B40" s="164">
        <v>45762</v>
      </c>
      <c r="C40" t="s">
        <v>132</v>
      </c>
      <c r="D40">
        <v>2</v>
      </c>
      <c r="E40">
        <v>950000</v>
      </c>
      <c r="F40">
        <v>37084443</v>
      </c>
      <c r="G40">
        <v>1000</v>
      </c>
      <c r="H40" t="str">
        <f>IF(C40=C39,"",COUNTIF(G40,1000)+COUNTIF(G40,2000))</f>
        <v/>
      </c>
      <c r="I40" t="str">
        <f>IF(H40=0,"",IF(C40=C39,"",SUM($H$3:H40)))</f>
        <v/>
      </c>
    </row>
    <row r="41" spans="2:9">
      <c r="B41" s="164">
        <v>45762</v>
      </c>
      <c r="C41" t="s">
        <v>132</v>
      </c>
      <c r="D41">
        <v>2</v>
      </c>
      <c r="E41">
        <v>950000</v>
      </c>
      <c r="F41">
        <v>37084443</v>
      </c>
      <c r="G41">
        <v>1000</v>
      </c>
      <c r="H41" t="str">
        <f>IF(C41=C40,"",COUNTIF(G41,1000)+COUNTIF(G41,2000))</f>
        <v/>
      </c>
      <c r="I41" t="str">
        <f>IF(H41=0,"",IF(C41=C40,"",SUM($H$3:H41)))</f>
        <v/>
      </c>
    </row>
    <row r="42" spans="2:9">
      <c r="B42" s="164">
        <v>45762</v>
      </c>
      <c r="C42" t="s">
        <v>132</v>
      </c>
      <c r="D42">
        <v>2</v>
      </c>
      <c r="E42">
        <v>950000</v>
      </c>
      <c r="F42">
        <v>37084443</v>
      </c>
      <c r="G42">
        <v>1000</v>
      </c>
      <c r="H42" t="str">
        <f>IF(C42=C41,"",COUNTIF(G42,1000)+COUNTIF(G42,2000))</f>
        <v/>
      </c>
      <c r="I42" t="str">
        <f>IF(H42=0,"",IF(C42=C41,"",SUM($H$3:H42)))</f>
        <v/>
      </c>
    </row>
    <row r="43" spans="2:9">
      <c r="B43" s="164">
        <v>45762</v>
      </c>
      <c r="C43" t="s">
        <v>132</v>
      </c>
      <c r="D43">
        <v>1</v>
      </c>
      <c r="E43">
        <v>950000</v>
      </c>
      <c r="F43">
        <v>37084443</v>
      </c>
      <c r="G43">
        <v>1000</v>
      </c>
      <c r="H43" t="str">
        <f>IF(C43=C42,"",COUNTIF(G43,1000)+COUNTIF(G43,2000))</f>
        <v/>
      </c>
      <c r="I43" t="str">
        <f>IF(H43=0,"",IF(C43=C42,"",SUM($H$3:H43)))</f>
        <v/>
      </c>
    </row>
    <row r="44" spans="2:9">
      <c r="B44" s="164">
        <v>45762</v>
      </c>
      <c r="C44" t="s">
        <v>132</v>
      </c>
      <c r="D44">
        <v>1</v>
      </c>
      <c r="E44">
        <v>950000</v>
      </c>
      <c r="F44">
        <v>37084443</v>
      </c>
      <c r="G44">
        <v>1000</v>
      </c>
      <c r="H44" t="str">
        <f>IF(C44=C43,"",COUNTIF(G44,1000)+COUNTIF(G44,2000))</f>
        <v/>
      </c>
      <c r="I44" t="str">
        <f>IF(H44=0,"",IF(C44=C43,"",SUM($H$3:H44)))</f>
        <v/>
      </c>
    </row>
    <row r="45" spans="2:9">
      <c r="B45" s="164">
        <v>45762</v>
      </c>
      <c r="C45" t="s">
        <v>132</v>
      </c>
      <c r="D45">
        <v>1</v>
      </c>
      <c r="E45">
        <v>950000</v>
      </c>
      <c r="F45">
        <v>37084443</v>
      </c>
      <c r="G45">
        <v>1000</v>
      </c>
      <c r="H45" t="str">
        <f>IF(C45=C44,"",COUNTIF(G45,1000)+COUNTIF(G45,2000))</f>
        <v/>
      </c>
      <c r="I45" t="str">
        <f>IF(H45=0,"",IF(C45=C44,"",SUM($H$3:H45)))</f>
        <v/>
      </c>
    </row>
    <row r="46" spans="2:9">
      <c r="B46" s="164">
        <v>45762</v>
      </c>
      <c r="C46" t="s">
        <v>132</v>
      </c>
      <c r="D46">
        <v>1</v>
      </c>
      <c r="E46">
        <v>950000</v>
      </c>
      <c r="F46">
        <v>37084443</v>
      </c>
      <c r="G46">
        <v>1000</v>
      </c>
      <c r="H46" t="str">
        <f>IF(C46=C45,"",COUNTIF(G46,1000)+COUNTIF(G46,2000))</f>
        <v/>
      </c>
      <c r="I46" t="str">
        <f>IF(H46=0,"",IF(C46=C45,"",SUM($H$3:H46)))</f>
        <v/>
      </c>
    </row>
    <row r="47" spans="2:9">
      <c r="B47" s="164">
        <v>45762</v>
      </c>
      <c r="C47" t="s">
        <v>132</v>
      </c>
      <c r="D47">
        <v>1</v>
      </c>
      <c r="E47">
        <v>950000</v>
      </c>
      <c r="F47">
        <v>37084443</v>
      </c>
      <c r="G47">
        <v>1000</v>
      </c>
      <c r="H47" t="str">
        <f>IF(C47=C46,"",COUNTIF(G47,1000)+COUNTIF(G47,2000))</f>
        <v/>
      </c>
      <c r="I47" t="str">
        <f>IF(H47=0,"",IF(C47=C46,"",SUM($H$3:H47)))</f>
        <v/>
      </c>
    </row>
    <row r="48" spans="2:9">
      <c r="B48" s="164">
        <v>45762</v>
      </c>
      <c r="C48" t="s">
        <v>132</v>
      </c>
      <c r="D48">
        <v>1</v>
      </c>
      <c r="E48">
        <v>950000</v>
      </c>
      <c r="F48">
        <v>37084443</v>
      </c>
      <c r="G48">
        <v>1000</v>
      </c>
      <c r="H48" t="str">
        <f>IF(C48=C47,"",COUNTIF(G48,1000)+COUNTIF(G48,2000))</f>
        <v/>
      </c>
      <c r="I48" t="str">
        <f>IF(H48=0,"",IF(C48=C47,"",SUM($H$3:H48)))</f>
        <v/>
      </c>
    </row>
    <row r="49" spans="2:9">
      <c r="B49" s="164">
        <v>45762</v>
      </c>
      <c r="C49" t="s">
        <v>132</v>
      </c>
      <c r="D49">
        <v>1</v>
      </c>
      <c r="E49">
        <v>950000</v>
      </c>
      <c r="F49">
        <v>37084443</v>
      </c>
      <c r="G49">
        <v>1000</v>
      </c>
      <c r="H49" t="str">
        <f>IF(C49=C48,"",COUNTIF(G49,1000)+COUNTIF(G49,2000))</f>
        <v/>
      </c>
      <c r="I49" t="str">
        <f>IF(H49=0,"",IF(C49=C48,"",SUM($H$3:H49)))</f>
        <v/>
      </c>
    </row>
    <row r="50" spans="2:9">
      <c r="B50" s="164">
        <v>45762</v>
      </c>
      <c r="C50" t="s">
        <v>132</v>
      </c>
      <c r="D50">
        <v>1</v>
      </c>
      <c r="E50">
        <v>950000</v>
      </c>
      <c r="F50">
        <v>37084443</v>
      </c>
      <c r="G50">
        <v>1000</v>
      </c>
      <c r="H50" t="str">
        <f>IF(C50=C49,"",COUNTIF(G50,1000)+COUNTIF(G50,2000))</f>
        <v/>
      </c>
      <c r="I50" t="str">
        <f>IF(H50=0,"",IF(C50=C49,"",SUM($H$3:H50)))</f>
        <v/>
      </c>
    </row>
    <row r="51" spans="2:9">
      <c r="B51" s="164">
        <v>45762</v>
      </c>
      <c r="C51" t="s">
        <v>132</v>
      </c>
      <c r="D51">
        <v>1</v>
      </c>
      <c r="E51">
        <v>950000</v>
      </c>
      <c r="F51">
        <v>37084443</v>
      </c>
      <c r="G51">
        <v>1000</v>
      </c>
      <c r="H51" t="str">
        <f>IF(C51=C50,"",COUNTIF(G51,1000)+COUNTIF(G51,2000))</f>
        <v/>
      </c>
      <c r="I51" t="str">
        <f>IF(H51=0,"",IF(C51=C50,"",SUM($H$3:H51)))</f>
        <v/>
      </c>
    </row>
    <row r="52" spans="2:9">
      <c r="B52" s="164">
        <v>45762</v>
      </c>
      <c r="C52" t="s">
        <v>132</v>
      </c>
      <c r="D52">
        <v>2</v>
      </c>
      <c r="E52">
        <v>950000</v>
      </c>
      <c r="F52">
        <v>37084443</v>
      </c>
      <c r="G52">
        <v>1000</v>
      </c>
      <c r="H52" t="str">
        <f>IF(C52=C51,"",COUNTIF(G52,1000)+COUNTIF(G52,2000))</f>
        <v/>
      </c>
      <c r="I52" t="str">
        <f>IF(H52=0,"",IF(C52=C51,"",SUM($H$3:H52)))</f>
        <v/>
      </c>
    </row>
    <row r="53" spans="2:9">
      <c r="B53" s="164">
        <v>45762</v>
      </c>
      <c r="C53" t="s">
        <v>132</v>
      </c>
      <c r="D53">
        <v>2</v>
      </c>
      <c r="E53">
        <v>950000</v>
      </c>
      <c r="F53">
        <v>37084443</v>
      </c>
      <c r="G53">
        <v>1000</v>
      </c>
      <c r="H53" t="str">
        <f>IF(C53=C52,"",COUNTIF(G53,1000)+COUNTIF(G53,2000))</f>
        <v/>
      </c>
      <c r="I53" t="str">
        <f>IF(H53=0,"",IF(C53=C52,"",SUM($H$3:H53)))</f>
        <v/>
      </c>
    </row>
    <row r="54" spans="2:9">
      <c r="B54" s="164">
        <v>45762</v>
      </c>
      <c r="C54" t="s">
        <v>132</v>
      </c>
      <c r="D54">
        <v>2</v>
      </c>
      <c r="E54">
        <v>950000</v>
      </c>
      <c r="F54">
        <v>37084443</v>
      </c>
      <c r="G54">
        <v>1000</v>
      </c>
      <c r="H54" t="str">
        <f>IF(C54=C53,"",COUNTIF(G54,1000)+COUNTIF(G54,2000))</f>
        <v/>
      </c>
      <c r="I54" t="str">
        <f>IF(H54=0,"",IF(C54=C53,"",SUM($H$3:H54)))</f>
        <v/>
      </c>
    </row>
    <row r="55" spans="2:9">
      <c r="B55" s="164">
        <v>45762</v>
      </c>
      <c r="C55" t="s">
        <v>132</v>
      </c>
      <c r="D55">
        <v>2</v>
      </c>
      <c r="E55">
        <v>950000</v>
      </c>
      <c r="F55">
        <v>37084443</v>
      </c>
      <c r="G55">
        <v>1000</v>
      </c>
      <c r="H55" t="str">
        <f>IF(C55=C54,"",COUNTIF(G55,1000)+COUNTIF(G55,2000))</f>
        <v/>
      </c>
      <c r="I55" t="str">
        <f>IF(H55=0,"",IF(C55=C54,"",SUM($H$3:H55)))</f>
        <v/>
      </c>
    </row>
    <row r="56" spans="2:9">
      <c r="B56" s="164">
        <v>45762</v>
      </c>
      <c r="C56" t="s">
        <v>132</v>
      </c>
      <c r="D56">
        <v>2</v>
      </c>
      <c r="E56">
        <v>950000</v>
      </c>
      <c r="F56">
        <v>37084443</v>
      </c>
      <c r="G56">
        <v>1000</v>
      </c>
      <c r="H56" t="str">
        <f>IF(C56=C55,"",COUNTIF(G56,1000)+COUNTIF(G56,2000))</f>
        <v/>
      </c>
      <c r="I56" t="str">
        <f>IF(H56=0,"",IF(C56=C55,"",SUM($H$3:H56)))</f>
        <v/>
      </c>
    </row>
    <row r="57" spans="2:9">
      <c r="B57" s="164">
        <v>45762</v>
      </c>
      <c r="C57" t="s">
        <v>132</v>
      </c>
      <c r="D57">
        <v>2</v>
      </c>
      <c r="E57">
        <v>950000</v>
      </c>
      <c r="F57">
        <v>37084443</v>
      </c>
      <c r="G57">
        <v>1000</v>
      </c>
      <c r="H57" t="str">
        <f>IF(C57=C56,"",COUNTIF(G57,1000)+COUNTIF(G57,2000))</f>
        <v/>
      </c>
      <c r="I57" t="str">
        <f>IF(H57=0,"",IF(C57=C56,"",SUM($H$3:H57)))</f>
        <v/>
      </c>
    </row>
    <row r="58" spans="2:9">
      <c r="B58" s="164">
        <v>45762</v>
      </c>
      <c r="C58" t="s">
        <v>132</v>
      </c>
      <c r="D58">
        <v>1</v>
      </c>
      <c r="E58">
        <v>950000</v>
      </c>
      <c r="F58">
        <v>37084443</v>
      </c>
      <c r="G58">
        <v>1000</v>
      </c>
      <c r="H58" t="str">
        <f>IF(C58=C57,"",COUNTIF(G58,1000)+COUNTIF(G58,2000))</f>
        <v/>
      </c>
      <c r="I58" t="str">
        <f>IF(H58=0,"",IF(C58=C57,"",SUM($H$3:H58)))</f>
        <v/>
      </c>
    </row>
    <row r="59" spans="2:9">
      <c r="B59" s="164">
        <v>45762</v>
      </c>
      <c r="C59" t="s">
        <v>132</v>
      </c>
      <c r="D59">
        <v>1</v>
      </c>
      <c r="E59">
        <v>950000</v>
      </c>
      <c r="F59">
        <v>37084443</v>
      </c>
      <c r="G59">
        <v>1000</v>
      </c>
      <c r="H59" t="str">
        <f>IF(C59=C58,"",COUNTIF(G59,1000)+COUNTIF(G59,2000))</f>
        <v/>
      </c>
      <c r="I59" t="str">
        <f>IF(H59=0,"",IF(C59=C58,"",SUM($H$3:H59)))</f>
        <v/>
      </c>
    </row>
    <row r="60" spans="2:9">
      <c r="B60" s="164">
        <v>45762</v>
      </c>
      <c r="C60" t="s">
        <v>132</v>
      </c>
      <c r="D60">
        <v>1</v>
      </c>
      <c r="E60">
        <v>950000</v>
      </c>
      <c r="F60">
        <v>37084443</v>
      </c>
      <c r="G60">
        <v>1000</v>
      </c>
      <c r="H60" t="str">
        <f>IF(C60=C59,"",COUNTIF(G60,1000)+COUNTIF(G60,2000))</f>
        <v/>
      </c>
      <c r="I60" t="str">
        <f>IF(H60=0,"",IF(C60=C59,"",SUM($H$3:H60)))</f>
        <v/>
      </c>
    </row>
    <row r="61" spans="2:9">
      <c r="B61" s="164">
        <v>45762</v>
      </c>
      <c r="C61" t="s">
        <v>132</v>
      </c>
      <c r="D61">
        <v>1</v>
      </c>
      <c r="E61">
        <v>950000</v>
      </c>
      <c r="F61">
        <v>37084443</v>
      </c>
      <c r="G61">
        <v>1000</v>
      </c>
      <c r="H61" t="str">
        <f>IF(C61=C60,"",COUNTIF(G61,1000)+COUNTIF(G61,2000))</f>
        <v/>
      </c>
      <c r="I61" t="str">
        <f>IF(H61=0,"",IF(C61=C60,"",SUM($H$3:H61)))</f>
        <v/>
      </c>
    </row>
    <row r="62" spans="2:9">
      <c r="B62" s="164">
        <v>45762</v>
      </c>
      <c r="C62" t="s">
        <v>132</v>
      </c>
      <c r="D62">
        <v>1</v>
      </c>
      <c r="E62">
        <v>950000</v>
      </c>
      <c r="F62">
        <v>37084443</v>
      </c>
      <c r="G62">
        <v>1000</v>
      </c>
      <c r="H62" t="str">
        <f>IF(C62=C61,"",COUNTIF(G62,1000)+COUNTIF(G62,2000))</f>
        <v/>
      </c>
      <c r="I62" t="str">
        <f>IF(H62=0,"",IF(C62=C61,"",SUM($H$3:H62)))</f>
        <v/>
      </c>
    </row>
    <row r="63" spans="2:9">
      <c r="B63" s="164">
        <v>45762</v>
      </c>
      <c r="C63" t="s">
        <v>132</v>
      </c>
      <c r="D63">
        <v>1</v>
      </c>
      <c r="E63">
        <v>950000</v>
      </c>
      <c r="F63">
        <v>37084443</v>
      </c>
      <c r="G63">
        <v>1000</v>
      </c>
      <c r="H63" t="str">
        <f>IF(C63=C62,"",COUNTIF(G63,1000)+COUNTIF(G63,2000))</f>
        <v/>
      </c>
      <c r="I63" t="str">
        <f>IF(H63=0,"",IF(C63=C62,"",SUM($H$3:H63)))</f>
        <v/>
      </c>
    </row>
    <row r="64" spans="2:9">
      <c r="B64" s="164">
        <v>45762</v>
      </c>
      <c r="C64" t="s">
        <v>132</v>
      </c>
      <c r="D64">
        <v>2</v>
      </c>
      <c r="E64">
        <v>950000</v>
      </c>
      <c r="F64">
        <v>37084443</v>
      </c>
      <c r="G64">
        <v>1000</v>
      </c>
      <c r="H64" t="str">
        <f>IF(C64=C63,"",COUNTIF(G64,1000)+COUNTIF(G64,2000))</f>
        <v/>
      </c>
      <c r="I64" t="str">
        <f>IF(H64=0,"",IF(C64=C63,"",SUM($H$3:H64)))</f>
        <v/>
      </c>
    </row>
    <row r="65" spans="2:9">
      <c r="B65" s="164">
        <v>45762</v>
      </c>
      <c r="C65" t="s">
        <v>132</v>
      </c>
      <c r="D65">
        <v>2</v>
      </c>
      <c r="E65">
        <v>950000</v>
      </c>
      <c r="F65">
        <v>37084443</v>
      </c>
      <c r="G65">
        <v>1000</v>
      </c>
      <c r="H65" t="str">
        <f>IF(C65=C64,"",COUNTIF(G65,1000)+COUNTIF(G65,2000))</f>
        <v/>
      </c>
      <c r="I65" t="str">
        <f>IF(H65=0,"",IF(C65=C64,"",SUM($H$3:H65)))</f>
        <v/>
      </c>
    </row>
    <row r="66" spans="2:9">
      <c r="B66" s="164">
        <v>45762</v>
      </c>
      <c r="C66" t="s">
        <v>132</v>
      </c>
      <c r="D66">
        <v>2</v>
      </c>
      <c r="E66">
        <v>950000</v>
      </c>
      <c r="F66">
        <v>37084443</v>
      </c>
      <c r="G66">
        <v>1000</v>
      </c>
      <c r="H66" t="str">
        <f>IF(C66=C65,"",COUNTIF(G66,1000)+COUNTIF(G66,2000))</f>
        <v/>
      </c>
      <c r="I66" t="str">
        <f>IF(H66=0,"",IF(C66=C65,"",SUM($H$3:H66)))</f>
        <v/>
      </c>
    </row>
    <row r="67" spans="2:9">
      <c r="B67" s="164">
        <v>45762</v>
      </c>
      <c r="C67" t="s">
        <v>132</v>
      </c>
      <c r="D67">
        <v>2</v>
      </c>
      <c r="E67">
        <v>950000</v>
      </c>
      <c r="F67">
        <v>37084443</v>
      </c>
      <c r="G67">
        <v>1000</v>
      </c>
      <c r="H67" t="str">
        <f>IF(C67=C66,"",COUNTIF(G67,1000)+COUNTIF(G67,2000))</f>
        <v/>
      </c>
      <c r="I67" t="str">
        <f>IF(H67=0,"",IF(C67=C66,"",SUM($H$3:H67)))</f>
        <v/>
      </c>
    </row>
    <row r="68" spans="2:9">
      <c r="B68" s="164">
        <v>45762</v>
      </c>
      <c r="C68" t="s">
        <v>132</v>
      </c>
      <c r="D68">
        <v>2</v>
      </c>
      <c r="E68">
        <v>950000</v>
      </c>
      <c r="F68">
        <v>37084443</v>
      </c>
      <c r="G68">
        <v>1000</v>
      </c>
      <c r="H68" t="str">
        <f>IF(C68=C67,"",COUNTIF(G68,1000)+COUNTIF(G68,2000))</f>
        <v/>
      </c>
      <c r="I68" t="str">
        <f>IF(H68=0,"",IF(C68=C67,"",SUM($H$3:H68)))</f>
        <v/>
      </c>
    </row>
    <row r="69" spans="2:9">
      <c r="B69" s="164">
        <v>45762</v>
      </c>
      <c r="C69" t="s">
        <v>132</v>
      </c>
      <c r="D69">
        <v>2</v>
      </c>
      <c r="E69">
        <v>950000</v>
      </c>
      <c r="F69">
        <v>37084443</v>
      </c>
      <c r="G69">
        <v>1000</v>
      </c>
      <c r="H69" t="str">
        <f>IF(C69=C68,"",COUNTIF(G69,1000)+COUNTIF(G69,2000))</f>
        <v/>
      </c>
      <c r="I69" t="str">
        <f>IF(H69=0,"",IF(C69=C68,"",SUM($H$3:H69)))</f>
        <v/>
      </c>
    </row>
    <row r="70" spans="2:9">
      <c r="B70" s="164">
        <v>45762</v>
      </c>
      <c r="C70" t="s">
        <v>132</v>
      </c>
      <c r="D70">
        <v>2</v>
      </c>
      <c r="E70">
        <v>950000</v>
      </c>
      <c r="F70">
        <v>37084443</v>
      </c>
      <c r="G70">
        <v>1000</v>
      </c>
      <c r="H70" t="str">
        <f>IF(C70=C69,"",COUNTIF(G70,1000)+COUNTIF(G70,2000))</f>
        <v/>
      </c>
      <c r="I70" t="str">
        <f>IF(H70=0,"",IF(C70=C69,"",SUM($H$3:H70)))</f>
        <v/>
      </c>
    </row>
    <row r="71" spans="2:9">
      <c r="B71" s="164">
        <v>45762</v>
      </c>
      <c r="C71" t="s">
        <v>132</v>
      </c>
      <c r="D71">
        <v>1</v>
      </c>
      <c r="E71">
        <v>950000</v>
      </c>
      <c r="F71">
        <v>37084443</v>
      </c>
      <c r="G71">
        <v>1000</v>
      </c>
      <c r="H71" t="str">
        <f>IF(C71=C70,"",COUNTIF(G71,1000)+COUNTIF(G71,2000))</f>
        <v/>
      </c>
      <c r="I71" t="str">
        <f>IF(H71=0,"",IF(C71=C70,"",SUM($H$3:H71)))</f>
        <v/>
      </c>
    </row>
    <row r="72" spans="2:9">
      <c r="B72" s="164">
        <v>45762</v>
      </c>
      <c r="C72" t="s">
        <v>132</v>
      </c>
      <c r="D72">
        <v>1</v>
      </c>
      <c r="E72">
        <v>950000</v>
      </c>
      <c r="F72">
        <v>37084443</v>
      </c>
      <c r="G72">
        <v>1000</v>
      </c>
      <c r="H72" t="str">
        <f>IF(C72=C71,"",COUNTIF(G72,1000)+COUNTIF(G72,2000))</f>
        <v/>
      </c>
      <c r="I72" t="str">
        <f>IF(H72=0,"",IF(C72=C71,"",SUM($H$3:H72)))</f>
        <v/>
      </c>
    </row>
    <row r="73" spans="2:9">
      <c r="B73" s="164">
        <v>45762</v>
      </c>
      <c r="C73" t="s">
        <v>132</v>
      </c>
      <c r="D73">
        <v>1</v>
      </c>
      <c r="E73">
        <v>950000</v>
      </c>
      <c r="F73">
        <v>37084443</v>
      </c>
      <c r="G73">
        <v>1000</v>
      </c>
      <c r="H73" t="str">
        <f>IF(C73=C72,"",COUNTIF(G73,1000)+COUNTIF(G73,2000))</f>
        <v/>
      </c>
      <c r="I73" t="str">
        <f>IF(H73=0,"",IF(C73=C72,"",SUM($H$3:H73)))</f>
        <v/>
      </c>
    </row>
    <row r="74" spans="2:9">
      <c r="B74" s="164">
        <v>45762</v>
      </c>
      <c r="C74" t="s">
        <v>132</v>
      </c>
      <c r="D74">
        <v>1</v>
      </c>
      <c r="E74">
        <v>950000</v>
      </c>
      <c r="F74">
        <v>37084443</v>
      </c>
      <c r="G74">
        <v>1000</v>
      </c>
      <c r="H74" t="str">
        <f>IF(C74=C73,"",COUNTIF(G74,1000)+COUNTIF(G74,2000))</f>
        <v/>
      </c>
      <c r="I74" t="str">
        <f>IF(H74=0,"",IF(C74=C73,"",SUM($H$3:H74)))</f>
        <v/>
      </c>
    </row>
    <row r="75" spans="2:9">
      <c r="B75" s="164">
        <v>45762</v>
      </c>
      <c r="C75" t="s">
        <v>132</v>
      </c>
      <c r="D75">
        <v>1</v>
      </c>
      <c r="E75">
        <v>950000</v>
      </c>
      <c r="F75">
        <v>37084443</v>
      </c>
      <c r="G75">
        <v>1000</v>
      </c>
      <c r="H75" t="str">
        <f>IF(C75=C74,"",COUNTIF(G75,1000)+COUNTIF(G75,2000))</f>
        <v/>
      </c>
      <c r="I75" t="str">
        <f>IF(H75=0,"",IF(C75=C74,"",SUM($H$3:H75)))</f>
        <v/>
      </c>
    </row>
    <row r="76" spans="2:9">
      <c r="B76" s="164">
        <v>45762</v>
      </c>
      <c r="C76" t="s">
        <v>132</v>
      </c>
      <c r="D76">
        <v>1</v>
      </c>
      <c r="E76">
        <v>950000</v>
      </c>
      <c r="F76">
        <v>37084443</v>
      </c>
      <c r="G76">
        <v>1000</v>
      </c>
      <c r="H76" t="str">
        <f>IF(C76=C75,"",COUNTIF(G76,1000)+COUNTIF(G76,2000))</f>
        <v/>
      </c>
      <c r="I76" t="str">
        <f>IF(H76=0,"",IF(C76=C75,"",SUM($H$3:H76)))</f>
        <v/>
      </c>
    </row>
    <row r="77" spans="2:9">
      <c r="B77" s="164">
        <v>45762</v>
      </c>
      <c r="C77" t="s">
        <v>132</v>
      </c>
      <c r="D77">
        <v>1</v>
      </c>
      <c r="E77">
        <v>950000</v>
      </c>
      <c r="F77">
        <v>37084443</v>
      </c>
      <c r="G77">
        <v>1000</v>
      </c>
      <c r="H77" t="str">
        <f>IF(C77=C76,"",COUNTIF(G77,1000)+COUNTIF(G77,2000))</f>
        <v/>
      </c>
      <c r="I77" t="str">
        <f>IF(H77=0,"",IF(C77=C76,"",SUM($H$3:H77)))</f>
        <v/>
      </c>
    </row>
    <row r="78" spans="2:9">
      <c r="B78" s="164">
        <v>45762</v>
      </c>
      <c r="C78" t="s">
        <v>132</v>
      </c>
      <c r="D78">
        <v>1</v>
      </c>
      <c r="E78">
        <v>950000</v>
      </c>
      <c r="F78">
        <v>37084443</v>
      </c>
      <c r="G78">
        <v>1000</v>
      </c>
      <c r="H78" t="str">
        <f>IF(C78=C77,"",COUNTIF(G78,1000)+COUNTIF(G78,2000))</f>
        <v/>
      </c>
      <c r="I78" t="str">
        <f>IF(H78=0,"",IF(C78=C77,"",SUM($H$3:H78)))</f>
        <v/>
      </c>
    </row>
    <row r="79" spans="2:9">
      <c r="B79" s="164">
        <v>45762</v>
      </c>
      <c r="C79" t="s">
        <v>132</v>
      </c>
      <c r="D79">
        <v>1</v>
      </c>
      <c r="E79">
        <v>950000</v>
      </c>
      <c r="F79">
        <v>37084443</v>
      </c>
      <c r="G79">
        <v>1000</v>
      </c>
      <c r="H79" t="str">
        <f>IF(C79=C78,"",COUNTIF(G79,1000)+COUNTIF(G79,2000))</f>
        <v/>
      </c>
      <c r="I79" t="str">
        <f>IF(H79=0,"",IF(C79=C78,"",SUM($H$3:H79)))</f>
        <v/>
      </c>
    </row>
    <row r="80" spans="2:9">
      <c r="B80" s="164">
        <v>45762</v>
      </c>
      <c r="C80" t="s">
        <v>132</v>
      </c>
      <c r="D80">
        <v>1</v>
      </c>
      <c r="E80">
        <v>950000</v>
      </c>
      <c r="F80">
        <v>37084443</v>
      </c>
      <c r="G80">
        <v>1000</v>
      </c>
      <c r="H80" t="str">
        <f>IF(C80=C79,"",COUNTIF(G80,1000)+COUNTIF(G80,2000))</f>
        <v/>
      </c>
      <c r="I80" t="str">
        <f>IF(H80=0,"",IF(C80=C79,"",SUM($H$3:H80)))</f>
        <v/>
      </c>
    </row>
    <row r="81" spans="2:9">
      <c r="B81" s="164">
        <v>45762</v>
      </c>
      <c r="C81" t="s">
        <v>132</v>
      </c>
      <c r="D81">
        <v>2</v>
      </c>
      <c r="E81">
        <v>950000</v>
      </c>
      <c r="F81">
        <v>37084443</v>
      </c>
      <c r="G81">
        <v>1000</v>
      </c>
      <c r="H81" t="str">
        <f>IF(C81=C80,"",COUNTIF(G81,1000)+COUNTIF(G81,2000))</f>
        <v/>
      </c>
      <c r="I81" t="str">
        <f>IF(H81=0,"",IF(C81=C80,"",SUM($H$3:H81)))</f>
        <v/>
      </c>
    </row>
    <row r="82" spans="2:9">
      <c r="B82" s="164">
        <v>45762</v>
      </c>
      <c r="C82" t="s">
        <v>132</v>
      </c>
      <c r="D82">
        <v>2</v>
      </c>
      <c r="E82">
        <v>950000</v>
      </c>
      <c r="F82">
        <v>37084443</v>
      </c>
      <c r="G82">
        <v>1000</v>
      </c>
      <c r="H82" t="str">
        <f>IF(C82=C81,"",COUNTIF(G82,1000)+COUNTIF(G82,2000))</f>
        <v/>
      </c>
      <c r="I82" t="str">
        <f>IF(H82=0,"",IF(C82=C81,"",SUM($H$3:H82)))</f>
        <v/>
      </c>
    </row>
    <row r="83" spans="2:9">
      <c r="B83" s="164">
        <v>45762</v>
      </c>
      <c r="C83" t="s">
        <v>132</v>
      </c>
      <c r="D83">
        <v>2</v>
      </c>
      <c r="E83">
        <v>950000</v>
      </c>
      <c r="F83">
        <v>37084443</v>
      </c>
      <c r="G83">
        <v>1000</v>
      </c>
      <c r="H83" t="str">
        <f>IF(C83=C82,"",COUNTIF(G83,1000)+COUNTIF(G83,2000))</f>
        <v/>
      </c>
      <c r="I83" t="str">
        <f>IF(H83=0,"",IF(C83=C82,"",SUM($H$3:H83)))</f>
        <v/>
      </c>
    </row>
    <row r="84" spans="2:9">
      <c r="B84" s="164">
        <v>45762</v>
      </c>
      <c r="C84" t="s">
        <v>132</v>
      </c>
      <c r="D84">
        <v>1</v>
      </c>
      <c r="E84">
        <v>950000</v>
      </c>
      <c r="F84">
        <v>37084443</v>
      </c>
      <c r="G84">
        <v>1000</v>
      </c>
      <c r="H84" t="str">
        <f>IF(C84=C83,"",COUNTIF(G84,1000)+COUNTIF(G84,2000))</f>
        <v/>
      </c>
      <c r="I84" t="str">
        <f>IF(H84=0,"",IF(C84=C83,"",SUM($H$3:H84)))</f>
        <v/>
      </c>
    </row>
    <row r="85" spans="2:9">
      <c r="B85" s="164">
        <v>45762</v>
      </c>
      <c r="C85" t="s">
        <v>132</v>
      </c>
      <c r="D85">
        <v>1</v>
      </c>
      <c r="E85">
        <v>950000</v>
      </c>
      <c r="F85">
        <v>37084443</v>
      </c>
      <c r="G85">
        <v>1000</v>
      </c>
      <c r="H85" t="str">
        <f>IF(C85=C84,"",COUNTIF(G85,1000)+COUNTIF(G85,2000))</f>
        <v/>
      </c>
      <c r="I85" t="str">
        <f>IF(H85=0,"",IF(C85=C84,"",SUM($H$3:H85)))</f>
        <v/>
      </c>
    </row>
    <row r="86" spans="2:9">
      <c r="B86" s="164">
        <v>45762</v>
      </c>
      <c r="C86" t="s">
        <v>132</v>
      </c>
      <c r="D86">
        <v>1</v>
      </c>
      <c r="E86">
        <v>950000</v>
      </c>
      <c r="F86">
        <v>37084443</v>
      </c>
      <c r="G86">
        <v>1000</v>
      </c>
      <c r="H86" t="str">
        <f>IF(C86=C85,"",COUNTIF(G86,1000)+COUNTIF(G86,2000))</f>
        <v/>
      </c>
      <c r="I86" t="str">
        <f>IF(H86=0,"",IF(C86=C85,"",SUM($H$3:H86)))</f>
        <v/>
      </c>
    </row>
    <row r="87" spans="2:9">
      <c r="B87" s="164">
        <v>45762</v>
      </c>
      <c r="C87" t="s">
        <v>132</v>
      </c>
      <c r="D87">
        <v>1</v>
      </c>
      <c r="E87">
        <v>950000</v>
      </c>
      <c r="F87">
        <v>37084443</v>
      </c>
      <c r="G87">
        <v>1000</v>
      </c>
      <c r="H87" t="str">
        <f>IF(C87=C86,"",COUNTIF(G87,1000)+COUNTIF(G87,2000))</f>
        <v/>
      </c>
      <c r="I87" t="str">
        <f>IF(H87=0,"",IF(C87=C86,"",SUM($H$3:H87)))</f>
        <v/>
      </c>
    </row>
    <row r="88" spans="2:9">
      <c r="B88" s="164">
        <v>45762</v>
      </c>
      <c r="C88" t="s">
        <v>132</v>
      </c>
      <c r="D88">
        <v>1</v>
      </c>
      <c r="E88">
        <v>950000</v>
      </c>
      <c r="F88">
        <v>37084443</v>
      </c>
      <c r="G88">
        <v>1000</v>
      </c>
      <c r="H88" t="str">
        <f>IF(C88=C87,"",COUNTIF(G88,1000)+COUNTIF(G88,2000))</f>
        <v/>
      </c>
      <c r="I88" t="str">
        <f>IF(H88=0,"",IF(C88=C87,"",SUM($H$3:H88)))</f>
        <v/>
      </c>
    </row>
    <row r="89" spans="2:9">
      <c r="B89" s="164">
        <v>45762</v>
      </c>
      <c r="C89" t="s">
        <v>132</v>
      </c>
      <c r="D89">
        <v>1</v>
      </c>
      <c r="E89">
        <v>950000</v>
      </c>
      <c r="F89">
        <v>37084443</v>
      </c>
      <c r="G89">
        <v>1000</v>
      </c>
      <c r="H89" t="str">
        <f>IF(C89=C88,"",COUNTIF(G89,1000)+COUNTIF(G89,2000))</f>
        <v/>
      </c>
      <c r="I89" t="str">
        <f>IF(H89=0,"",IF(C89=C88,"",SUM($H$3:H89)))</f>
        <v/>
      </c>
    </row>
    <row r="90" spans="2:9">
      <c r="B90" s="164">
        <v>45762</v>
      </c>
      <c r="C90" t="s">
        <v>132</v>
      </c>
      <c r="D90">
        <v>1</v>
      </c>
      <c r="E90">
        <v>950000</v>
      </c>
      <c r="F90">
        <v>37084443</v>
      </c>
      <c r="G90">
        <v>1000</v>
      </c>
      <c r="H90" t="str">
        <f>IF(C90=C89,"",COUNTIF(G90,1000)+COUNTIF(G90,2000))</f>
        <v/>
      </c>
      <c r="I90" t="str">
        <f>IF(H90=0,"",IF(C90=C89,"",SUM($H$3:H90)))</f>
        <v/>
      </c>
    </row>
    <row r="91" spans="2:9">
      <c r="B91" s="164">
        <v>45762</v>
      </c>
      <c r="C91" t="s">
        <v>132</v>
      </c>
      <c r="D91">
        <v>1</v>
      </c>
      <c r="E91">
        <v>950000</v>
      </c>
      <c r="F91">
        <v>37084443</v>
      </c>
      <c r="G91">
        <v>1000</v>
      </c>
      <c r="H91" t="str">
        <f>IF(C91=C90,"",COUNTIF(G91,1000)+COUNTIF(G91,2000))</f>
        <v/>
      </c>
      <c r="I91" t="str">
        <f>IF(H91=0,"",IF(C91=C90,"",SUM($H$3:H91)))</f>
        <v/>
      </c>
    </row>
    <row r="92" spans="2:9">
      <c r="B92" s="164">
        <v>45762</v>
      </c>
      <c r="C92" t="s">
        <v>132</v>
      </c>
      <c r="D92">
        <v>1</v>
      </c>
      <c r="E92">
        <v>950000</v>
      </c>
      <c r="F92">
        <v>37084443</v>
      </c>
      <c r="G92">
        <v>1000</v>
      </c>
      <c r="H92" t="str">
        <f>IF(C92=C91,"",COUNTIF(G92,1000)+COUNTIF(G92,2000))</f>
        <v/>
      </c>
      <c r="I92" t="str">
        <f>IF(H92=0,"",IF(C92=C91,"",SUM($H$3:H92)))</f>
        <v/>
      </c>
    </row>
    <row r="93" spans="2:9">
      <c r="B93" s="164">
        <v>45762</v>
      </c>
      <c r="C93" t="s">
        <v>132</v>
      </c>
      <c r="D93">
        <v>2</v>
      </c>
      <c r="E93">
        <v>950000</v>
      </c>
      <c r="F93">
        <v>37084443</v>
      </c>
      <c r="G93">
        <v>1000</v>
      </c>
      <c r="H93" t="str">
        <f>IF(C93=C92,"",COUNTIF(G93,1000)+COUNTIF(G93,2000))</f>
        <v/>
      </c>
      <c r="I93" t="str">
        <f>IF(H93=0,"",IF(C93=C92,"",SUM($H$3:H93)))</f>
        <v/>
      </c>
    </row>
    <row r="94" spans="2:9">
      <c r="B94" s="164">
        <v>45762</v>
      </c>
      <c r="C94" t="s">
        <v>132</v>
      </c>
      <c r="D94">
        <v>2</v>
      </c>
      <c r="E94">
        <v>950000</v>
      </c>
      <c r="F94">
        <v>37084443</v>
      </c>
      <c r="G94">
        <v>1000</v>
      </c>
      <c r="H94" t="str">
        <f>IF(C94=C93,"",COUNTIF(G94,1000)+COUNTIF(G94,2000))</f>
        <v/>
      </c>
      <c r="I94" t="str">
        <f>IF(H94=0,"",IF(C94=C93,"",SUM($H$3:H94)))</f>
        <v/>
      </c>
    </row>
    <row r="95" spans="2:9">
      <c r="B95" s="164">
        <v>45762</v>
      </c>
      <c r="C95" t="s">
        <v>132</v>
      </c>
      <c r="D95">
        <v>2</v>
      </c>
      <c r="E95">
        <v>950000</v>
      </c>
      <c r="F95">
        <v>37084443</v>
      </c>
      <c r="G95">
        <v>1000</v>
      </c>
      <c r="H95" t="str">
        <f>IF(C95=C94,"",COUNTIF(G95,1000)+COUNTIF(G95,2000))</f>
        <v/>
      </c>
      <c r="I95" t="str">
        <f>IF(H95=0,"",IF(C95=C94,"",SUM($H$3:H95)))</f>
        <v/>
      </c>
    </row>
    <row r="96" spans="2:9">
      <c r="B96" s="164">
        <v>45762</v>
      </c>
      <c r="C96" t="s">
        <v>132</v>
      </c>
      <c r="D96">
        <v>2</v>
      </c>
      <c r="E96">
        <v>950000</v>
      </c>
      <c r="F96">
        <v>37084443</v>
      </c>
      <c r="G96">
        <v>1000</v>
      </c>
      <c r="H96" t="str">
        <f>IF(C96=C95,"",COUNTIF(G96,1000)+COUNTIF(G96,2000))</f>
        <v/>
      </c>
      <c r="I96" t="str">
        <f>IF(H96=0,"",IF(C96=C95,"",SUM($H$3:H96)))</f>
        <v/>
      </c>
    </row>
    <row r="97" spans="2:9">
      <c r="B97" s="164">
        <v>45762</v>
      </c>
      <c r="C97" t="s">
        <v>132</v>
      </c>
      <c r="D97">
        <v>2</v>
      </c>
      <c r="E97">
        <v>950000</v>
      </c>
      <c r="F97">
        <v>37084443</v>
      </c>
      <c r="G97">
        <v>1000</v>
      </c>
      <c r="H97" t="str">
        <f>IF(C97=C96,"",COUNTIF(G97,1000)+COUNTIF(G97,2000))</f>
        <v/>
      </c>
      <c r="I97" t="str">
        <f>IF(H97=0,"",IF(C97=C96,"",SUM($H$3:H97)))</f>
        <v/>
      </c>
    </row>
    <row r="98" spans="2:9">
      <c r="B98" s="164">
        <v>45762</v>
      </c>
      <c r="C98" t="s">
        <v>132</v>
      </c>
      <c r="D98">
        <v>2</v>
      </c>
      <c r="E98">
        <v>950000</v>
      </c>
      <c r="F98">
        <v>37084443</v>
      </c>
      <c r="G98">
        <v>1000</v>
      </c>
      <c r="H98" t="str">
        <f>IF(C98=C97,"",COUNTIF(G98,1000)+COUNTIF(G98,2000))</f>
        <v/>
      </c>
      <c r="I98" t="str">
        <f>IF(H98=0,"",IF(C98=C97,"",SUM($H$3:H98)))</f>
        <v/>
      </c>
    </row>
    <row r="99" spans="2:9">
      <c r="B99" s="164">
        <v>45762</v>
      </c>
      <c r="C99" t="s">
        <v>132</v>
      </c>
      <c r="D99">
        <v>2</v>
      </c>
      <c r="E99">
        <v>950000</v>
      </c>
      <c r="F99">
        <v>37084443</v>
      </c>
      <c r="G99">
        <v>1000</v>
      </c>
      <c r="H99" t="str">
        <f>IF(C99=C98,"",COUNTIF(G99,1000)+COUNTIF(G99,2000))</f>
        <v/>
      </c>
      <c r="I99" t="str">
        <f>IF(H99=0,"",IF(C99=C98,"",SUM($H$3:H99)))</f>
        <v/>
      </c>
    </row>
    <row r="100" spans="2:9">
      <c r="B100" s="164">
        <v>45762</v>
      </c>
      <c r="C100" t="s">
        <v>132</v>
      </c>
      <c r="D100">
        <v>2</v>
      </c>
      <c r="E100">
        <v>950000</v>
      </c>
      <c r="F100">
        <v>37084443</v>
      </c>
      <c r="G100">
        <v>1000</v>
      </c>
      <c r="H100" t="str">
        <f>IF(C100=C99,"",COUNTIF(G100,1000)+COUNTIF(G100,2000))</f>
        <v/>
      </c>
      <c r="I100" t="str">
        <f>IF(H100=0,"",IF(C100=C99,"",SUM($H$3:H100)))</f>
        <v/>
      </c>
    </row>
    <row r="101" spans="2:9">
      <c r="B101" s="164">
        <v>45762</v>
      </c>
      <c r="C101" t="s">
        <v>132</v>
      </c>
      <c r="D101">
        <v>2</v>
      </c>
      <c r="E101">
        <v>950000</v>
      </c>
      <c r="F101">
        <v>37084443</v>
      </c>
      <c r="G101">
        <v>1000</v>
      </c>
      <c r="H101" t="str">
        <f>IF(C101=C100,"",COUNTIF(G101,1000)+COUNTIF(G101,2000))</f>
        <v/>
      </c>
      <c r="I101" t="str">
        <f>IF(H101=0,"",IF(C101=C100,"",SUM($H$3:H101)))</f>
        <v/>
      </c>
    </row>
    <row r="102" spans="2:9">
      <c r="B102" s="164">
        <v>45762</v>
      </c>
      <c r="C102" t="s">
        <v>132</v>
      </c>
      <c r="D102">
        <v>2</v>
      </c>
      <c r="E102">
        <v>950000</v>
      </c>
      <c r="F102">
        <v>37084443</v>
      </c>
      <c r="G102">
        <v>1000</v>
      </c>
      <c r="H102" t="str">
        <f>IF(C102=C101,"",COUNTIF(G102,1000)+COUNTIF(G102,2000))</f>
        <v/>
      </c>
      <c r="I102" t="str">
        <f>IF(H102=0,"",IF(C102=C101,"",SUM($H$3:H102)))</f>
        <v/>
      </c>
    </row>
    <row r="103" spans="2:9">
      <c r="B103" s="164">
        <v>45762</v>
      </c>
      <c r="C103" t="s">
        <v>132</v>
      </c>
      <c r="D103">
        <v>2</v>
      </c>
      <c r="E103">
        <v>950000</v>
      </c>
      <c r="F103">
        <v>37084443</v>
      </c>
      <c r="G103">
        <v>1000</v>
      </c>
      <c r="H103" t="str">
        <f>IF(C103=C102,"",COUNTIF(G103,1000)+COUNTIF(G103,2000))</f>
        <v/>
      </c>
      <c r="I103" t="str">
        <f>IF(H103=0,"",IF(C103=C102,"",SUM($H$3:H103)))</f>
        <v/>
      </c>
    </row>
    <row r="104" spans="2:9">
      <c r="B104" s="164">
        <v>45762</v>
      </c>
      <c r="C104" t="s">
        <v>132</v>
      </c>
      <c r="D104">
        <v>2</v>
      </c>
      <c r="E104">
        <v>950000</v>
      </c>
      <c r="F104">
        <v>37084443</v>
      </c>
      <c r="G104">
        <v>1000</v>
      </c>
      <c r="H104" t="str">
        <f>IF(C104=C103,"",COUNTIF(G104,1000)+COUNTIF(G104,2000))</f>
        <v/>
      </c>
      <c r="I104" t="str">
        <f>IF(H104=0,"",IF(C104=C103,"",SUM($H$3:H104)))</f>
        <v/>
      </c>
    </row>
    <row r="105" spans="2:9">
      <c r="B105" s="164">
        <v>45762</v>
      </c>
      <c r="C105" t="s">
        <v>132</v>
      </c>
      <c r="D105">
        <v>2</v>
      </c>
      <c r="E105">
        <v>950000</v>
      </c>
      <c r="F105">
        <v>37084443</v>
      </c>
      <c r="G105">
        <v>1000</v>
      </c>
      <c r="H105" t="str">
        <f>IF(C105=C104,"",COUNTIF(G105,1000)+COUNTIF(G105,2000))</f>
        <v/>
      </c>
      <c r="I105" t="str">
        <f>IF(H105=0,"",IF(C105=C104,"",SUM($H$3:H105)))</f>
        <v/>
      </c>
    </row>
    <row r="106" spans="2:9">
      <c r="B106" s="164">
        <v>45762</v>
      </c>
      <c r="C106" t="s">
        <v>132</v>
      </c>
      <c r="D106">
        <v>2</v>
      </c>
      <c r="E106">
        <v>950000</v>
      </c>
      <c r="F106">
        <v>37084443</v>
      </c>
      <c r="G106">
        <v>1000</v>
      </c>
      <c r="H106" t="str">
        <f>IF(C106=C105,"",COUNTIF(G106,1000)+COUNTIF(G106,2000))</f>
        <v/>
      </c>
      <c r="I106" t="str">
        <f>IF(H106=0,"",IF(C106=C105,"",SUM($H$3:H106)))</f>
        <v/>
      </c>
    </row>
    <row r="107" spans="2:9">
      <c r="B107" s="164">
        <v>45762</v>
      </c>
      <c r="C107" t="s">
        <v>132</v>
      </c>
      <c r="D107">
        <v>2</v>
      </c>
      <c r="E107">
        <v>950000</v>
      </c>
      <c r="F107">
        <v>37084443</v>
      </c>
      <c r="G107">
        <v>1000</v>
      </c>
      <c r="H107" t="str">
        <f>IF(C107=C106,"",COUNTIF(G107,1000)+COUNTIF(G107,2000))</f>
        <v/>
      </c>
      <c r="I107" t="str">
        <f>IF(H107=0,"",IF(C107=C106,"",SUM($H$3:H107)))</f>
        <v/>
      </c>
    </row>
    <row r="108" spans="2:9">
      <c r="B108" s="164">
        <v>45762</v>
      </c>
      <c r="C108" t="s">
        <v>132</v>
      </c>
      <c r="D108">
        <v>2</v>
      </c>
      <c r="E108">
        <v>950000</v>
      </c>
      <c r="F108">
        <v>37084443</v>
      </c>
      <c r="G108">
        <v>1000</v>
      </c>
      <c r="H108" t="str">
        <f>IF(C108=C107,"",COUNTIF(G108,1000)+COUNTIF(G108,2000))</f>
        <v/>
      </c>
      <c r="I108" t="str">
        <f>IF(H108=0,"",IF(C108=C107,"",SUM($H$3:H108)))</f>
        <v/>
      </c>
    </row>
    <row r="109" spans="2:9">
      <c r="B109" s="164">
        <v>45762</v>
      </c>
      <c r="C109" t="s">
        <v>132</v>
      </c>
      <c r="D109">
        <v>2</v>
      </c>
      <c r="E109">
        <v>950000</v>
      </c>
      <c r="F109">
        <v>37084443</v>
      </c>
      <c r="G109">
        <v>1000</v>
      </c>
      <c r="H109" t="str">
        <f>IF(C109=C108,"",COUNTIF(G109,1000)+COUNTIF(G109,2000))</f>
        <v/>
      </c>
      <c r="I109" t="str">
        <f>IF(H109=0,"",IF(C109=C108,"",SUM($H$3:H109)))</f>
        <v/>
      </c>
    </row>
    <row r="110" spans="2:9">
      <c r="B110" s="164">
        <v>45777</v>
      </c>
      <c r="C110" t="s">
        <v>133</v>
      </c>
      <c r="D110">
        <v>2</v>
      </c>
      <c r="E110">
        <v>870000</v>
      </c>
      <c r="F110">
        <v>32033467</v>
      </c>
      <c r="G110">
        <v>1000</v>
      </c>
      <c r="H110">
        <f>IF(C110=C109,"",COUNTIF(G110,1000)+COUNTIF(G110,2000))</f>
        <v>1</v>
      </c>
      <c r="I110">
        <f>IF(H110=0,"",IF(C110=C109,"",SUM($H$3:H110)))</f>
        <v>3</v>
      </c>
    </row>
    <row r="111" spans="2:9">
      <c r="B111" s="164">
        <v>45777</v>
      </c>
      <c r="C111" t="s">
        <v>133</v>
      </c>
      <c r="D111">
        <v>3</v>
      </c>
      <c r="E111">
        <v>870000</v>
      </c>
      <c r="F111">
        <v>32033467</v>
      </c>
      <c r="G111">
        <v>1000</v>
      </c>
      <c r="H111" t="str">
        <f>IF(C111=C110,"",COUNTIF(G111,1000)+COUNTIF(G111,2000))</f>
        <v/>
      </c>
      <c r="I111" t="str">
        <f>IF(H111=0,"",IF(C111=C110,"",SUM($H$3:H111)))</f>
        <v/>
      </c>
    </row>
    <row r="112" spans="2:9">
      <c r="B112" s="164">
        <v>45777</v>
      </c>
      <c r="C112" t="s">
        <v>133</v>
      </c>
      <c r="D112">
        <v>3</v>
      </c>
      <c r="E112">
        <v>870000</v>
      </c>
      <c r="F112">
        <v>32033467</v>
      </c>
      <c r="G112">
        <v>1000</v>
      </c>
      <c r="H112" t="str">
        <f>IF(C112=C111,"",COUNTIF(G112,1000)+COUNTIF(G112,2000))</f>
        <v/>
      </c>
      <c r="I112" t="str">
        <f>IF(H112=0,"",IF(C112=C111,"",SUM($H$3:H112)))</f>
        <v/>
      </c>
    </row>
    <row r="113" spans="2:9">
      <c r="B113" s="164">
        <v>45777</v>
      </c>
      <c r="C113" t="s">
        <v>133</v>
      </c>
      <c r="D113">
        <v>3</v>
      </c>
      <c r="E113">
        <v>870000</v>
      </c>
      <c r="F113">
        <v>32033467</v>
      </c>
      <c r="G113">
        <v>1000</v>
      </c>
      <c r="H113" t="str">
        <f>IF(C113=C112,"",COUNTIF(G113,1000)+COUNTIF(G113,2000))</f>
        <v/>
      </c>
      <c r="I113" t="str">
        <f>IF(H113=0,"",IF(C113=C112,"",SUM($H$3:H113)))</f>
        <v/>
      </c>
    </row>
    <row r="114" spans="2:9">
      <c r="B114" s="164">
        <v>45777</v>
      </c>
      <c r="C114" t="s">
        <v>133</v>
      </c>
      <c r="D114">
        <v>3</v>
      </c>
      <c r="E114">
        <v>870000</v>
      </c>
      <c r="F114">
        <v>32033467</v>
      </c>
      <c r="G114">
        <v>1000</v>
      </c>
      <c r="H114" t="str">
        <f>IF(C114=C113,"",COUNTIF(G114,1000)+COUNTIF(G114,2000))</f>
        <v/>
      </c>
      <c r="I114" t="str">
        <f>IF(H114=0,"",IF(C114=C113,"",SUM($H$3:H114)))</f>
        <v/>
      </c>
    </row>
    <row r="115" spans="2:9">
      <c r="B115" s="164">
        <v>45777</v>
      </c>
      <c r="C115" t="s">
        <v>133</v>
      </c>
      <c r="D115">
        <v>3</v>
      </c>
      <c r="E115">
        <v>870000</v>
      </c>
      <c r="F115">
        <v>32033467</v>
      </c>
      <c r="G115">
        <v>1000</v>
      </c>
      <c r="H115" t="str">
        <f>IF(C115=C114,"",COUNTIF(G115,1000)+COUNTIF(G115,2000))</f>
        <v/>
      </c>
      <c r="I115" t="str">
        <f>IF(H115=0,"",IF(C115=C114,"",SUM($H$3:H115)))</f>
        <v/>
      </c>
    </row>
    <row r="116" spans="2:9">
      <c r="B116" s="164">
        <v>45777</v>
      </c>
      <c r="C116" t="s">
        <v>133</v>
      </c>
      <c r="D116">
        <v>3</v>
      </c>
      <c r="E116">
        <v>870000</v>
      </c>
      <c r="F116">
        <v>32033467</v>
      </c>
      <c r="G116">
        <v>1000</v>
      </c>
      <c r="H116" t="str">
        <f>IF(C116=C115,"",COUNTIF(G116,1000)+COUNTIF(G116,2000))</f>
        <v/>
      </c>
      <c r="I116" t="str">
        <f>IF(H116=0,"",IF(C116=C115,"",SUM($H$3:H116)))</f>
        <v/>
      </c>
    </row>
    <row r="117" spans="2:9">
      <c r="B117" s="164">
        <v>45777</v>
      </c>
      <c r="C117" t="s">
        <v>133</v>
      </c>
      <c r="D117">
        <v>3</v>
      </c>
      <c r="E117">
        <v>870000</v>
      </c>
      <c r="F117">
        <v>32033467</v>
      </c>
      <c r="G117">
        <v>1000</v>
      </c>
      <c r="H117" t="str">
        <f>IF(C117=C116,"",COUNTIF(G117,1000)+COUNTIF(G117,2000))</f>
        <v/>
      </c>
      <c r="I117" t="str">
        <f>IF(H117=0,"",IF(C117=C116,"",SUM($H$3:H117)))</f>
        <v/>
      </c>
    </row>
    <row r="118" spans="2:9">
      <c r="B118" s="164">
        <v>45777</v>
      </c>
      <c r="C118" t="s">
        <v>133</v>
      </c>
      <c r="D118">
        <v>3</v>
      </c>
      <c r="E118">
        <v>870000</v>
      </c>
      <c r="F118">
        <v>32033467</v>
      </c>
      <c r="G118">
        <v>1000</v>
      </c>
      <c r="H118" t="str">
        <f>IF(C118=C117,"",COUNTIF(G118,1000)+COUNTIF(G118,2000))</f>
        <v/>
      </c>
      <c r="I118" t="str">
        <f>IF(H118=0,"",IF(C118=C117,"",SUM($H$3:H118)))</f>
        <v/>
      </c>
    </row>
    <row r="119" spans="2:9">
      <c r="B119" s="164">
        <v>45777</v>
      </c>
      <c r="C119" t="s">
        <v>133</v>
      </c>
      <c r="D119">
        <v>3</v>
      </c>
      <c r="E119">
        <v>870000</v>
      </c>
      <c r="F119">
        <v>32033467</v>
      </c>
      <c r="G119">
        <v>1000</v>
      </c>
      <c r="H119" t="str">
        <f>IF(C119=C118,"",COUNTIF(G119,1000)+COUNTIF(G119,2000))</f>
        <v/>
      </c>
      <c r="I119" t="str">
        <f>IF(H119=0,"",IF(C119=C118,"",SUM($H$3:H119)))</f>
        <v/>
      </c>
    </row>
    <row r="120" spans="2:9">
      <c r="B120" s="164">
        <v>45777</v>
      </c>
      <c r="C120" t="s">
        <v>133</v>
      </c>
      <c r="D120">
        <v>3</v>
      </c>
      <c r="E120">
        <v>870000</v>
      </c>
      <c r="F120">
        <v>32033467</v>
      </c>
      <c r="G120">
        <v>1000</v>
      </c>
      <c r="H120" t="str">
        <f>IF(C120=C119,"",COUNTIF(G120,1000)+COUNTIF(G120,2000))</f>
        <v/>
      </c>
      <c r="I120" t="str">
        <f>IF(H120=0,"",IF(C120=C119,"",SUM($H$3:H120)))</f>
        <v/>
      </c>
    </row>
    <row r="121" spans="2:9">
      <c r="B121" s="164">
        <v>45777</v>
      </c>
      <c r="C121" t="s">
        <v>133</v>
      </c>
      <c r="D121">
        <v>3</v>
      </c>
      <c r="E121">
        <v>870000</v>
      </c>
      <c r="F121">
        <v>32033467</v>
      </c>
      <c r="G121">
        <v>1000</v>
      </c>
      <c r="H121" t="str">
        <f>IF(C121=C120,"",COUNTIF(G121,1000)+COUNTIF(G121,2000))</f>
        <v/>
      </c>
      <c r="I121" t="str">
        <f>IF(H121=0,"",IF(C121=C120,"",SUM($H$3:H121)))</f>
        <v/>
      </c>
    </row>
    <row r="122" spans="2:9">
      <c r="B122" s="164">
        <v>45777</v>
      </c>
      <c r="C122" t="s">
        <v>133</v>
      </c>
      <c r="D122">
        <v>3</v>
      </c>
      <c r="E122">
        <v>870000</v>
      </c>
      <c r="F122">
        <v>32033467</v>
      </c>
      <c r="G122">
        <v>1000</v>
      </c>
      <c r="H122" t="str">
        <f>IF(C122=C121,"",COUNTIF(G122,1000)+COUNTIF(G122,2000))</f>
        <v/>
      </c>
      <c r="I122" t="str">
        <f>IF(H122=0,"",IF(C122=C121,"",SUM($H$3:H122)))</f>
        <v/>
      </c>
    </row>
    <row r="123" spans="2:9">
      <c r="B123" s="164">
        <v>45777</v>
      </c>
      <c r="C123" t="s">
        <v>133</v>
      </c>
      <c r="D123">
        <v>3</v>
      </c>
      <c r="E123">
        <v>870000</v>
      </c>
      <c r="F123">
        <v>32033467</v>
      </c>
      <c r="G123">
        <v>1000</v>
      </c>
      <c r="H123" t="str">
        <f>IF(C123=C122,"",COUNTIF(G123,1000)+COUNTIF(G123,2000))</f>
        <v/>
      </c>
      <c r="I123" t="str">
        <f>IF(H123=0,"",IF(C123=C122,"",SUM($H$3:H123)))</f>
        <v/>
      </c>
    </row>
    <row r="124" spans="2:9">
      <c r="B124" s="164">
        <v>45777</v>
      </c>
      <c r="C124" t="s">
        <v>133</v>
      </c>
      <c r="D124">
        <v>3</v>
      </c>
      <c r="E124">
        <v>870000</v>
      </c>
      <c r="F124">
        <v>32033467</v>
      </c>
      <c r="G124">
        <v>1000</v>
      </c>
      <c r="H124" t="str">
        <f>IF(C124=C123,"",COUNTIF(G124,1000)+COUNTIF(G124,2000))</f>
        <v/>
      </c>
      <c r="I124" t="str">
        <f>IF(H124=0,"",IF(C124=C123,"",SUM($H$3:H124)))</f>
        <v/>
      </c>
    </row>
    <row r="125" spans="2:9">
      <c r="B125" s="164">
        <v>45777</v>
      </c>
      <c r="C125" t="s">
        <v>133</v>
      </c>
      <c r="D125">
        <v>3</v>
      </c>
      <c r="E125">
        <v>870000</v>
      </c>
      <c r="F125">
        <v>32033467</v>
      </c>
      <c r="G125">
        <v>1000</v>
      </c>
      <c r="H125" t="str">
        <f>IF(C125=C124,"",COUNTIF(G125,1000)+COUNTIF(G125,2000))</f>
        <v/>
      </c>
      <c r="I125" t="str">
        <f>IF(H125=0,"",IF(C125=C124,"",SUM($H$3:H125)))</f>
        <v/>
      </c>
    </row>
    <row r="126" spans="2:9">
      <c r="B126" s="164">
        <v>45777</v>
      </c>
      <c r="C126" t="s">
        <v>133</v>
      </c>
      <c r="D126">
        <v>3</v>
      </c>
      <c r="E126">
        <v>870000</v>
      </c>
      <c r="F126">
        <v>32033467</v>
      </c>
      <c r="G126">
        <v>1000</v>
      </c>
      <c r="H126" t="str">
        <f>IF(C126=C125,"",COUNTIF(G126,1000)+COUNTIF(G126,2000))</f>
        <v/>
      </c>
      <c r="I126" t="str">
        <f>IF(H126=0,"",IF(C126=C125,"",SUM($H$3:H126)))</f>
        <v/>
      </c>
    </row>
    <row r="127" spans="2:9">
      <c r="B127" s="164">
        <v>45777</v>
      </c>
      <c r="C127" t="s">
        <v>133</v>
      </c>
      <c r="D127">
        <v>3</v>
      </c>
      <c r="E127">
        <v>870000</v>
      </c>
      <c r="F127">
        <v>32033467</v>
      </c>
      <c r="G127">
        <v>1000</v>
      </c>
      <c r="H127" t="str">
        <f>IF(C127=C126,"",COUNTIF(G127,1000)+COUNTIF(G127,2000))</f>
        <v/>
      </c>
      <c r="I127" t="str">
        <f>IF(H127=0,"",IF(C127=C126,"",SUM($H$3:H127)))</f>
        <v/>
      </c>
    </row>
    <row r="128" spans="2:9">
      <c r="B128" s="164">
        <v>45777</v>
      </c>
      <c r="C128" t="s">
        <v>133</v>
      </c>
      <c r="D128">
        <v>2</v>
      </c>
      <c r="E128">
        <v>870000</v>
      </c>
      <c r="F128">
        <v>32033467</v>
      </c>
      <c r="G128">
        <v>1000</v>
      </c>
      <c r="H128" t="str">
        <f>IF(C128=C127,"",COUNTIF(G128,1000)+COUNTIF(G128,2000))</f>
        <v/>
      </c>
      <c r="I128" t="str">
        <f>IF(H128=0,"",IF(C128=C127,"",SUM($H$3:H128)))</f>
        <v/>
      </c>
    </row>
    <row r="129" spans="2:9">
      <c r="B129" s="164">
        <v>45777</v>
      </c>
      <c r="C129" t="s">
        <v>133</v>
      </c>
      <c r="D129">
        <v>2</v>
      </c>
      <c r="E129">
        <v>870000</v>
      </c>
      <c r="F129">
        <v>32033467</v>
      </c>
      <c r="G129">
        <v>1000</v>
      </c>
      <c r="H129" t="str">
        <f>IF(C129=C128,"",COUNTIF(G129,1000)+COUNTIF(G129,2000))</f>
        <v/>
      </c>
      <c r="I129" t="str">
        <f>IF(H129=0,"",IF(C129=C128,"",SUM($H$3:H129)))</f>
        <v/>
      </c>
    </row>
    <row r="130" spans="2:9">
      <c r="B130" s="164">
        <v>45777</v>
      </c>
      <c r="C130" t="s">
        <v>133</v>
      </c>
      <c r="D130">
        <v>2</v>
      </c>
      <c r="E130">
        <v>870000</v>
      </c>
      <c r="F130">
        <v>32033467</v>
      </c>
      <c r="G130">
        <v>1000</v>
      </c>
      <c r="H130" t="str">
        <f>IF(C130=C129,"",COUNTIF(G130,1000)+COUNTIF(G130,2000))</f>
        <v/>
      </c>
      <c r="I130" t="str">
        <f>IF(H130=0,"",IF(C130=C129,"",SUM($H$3:H130)))</f>
        <v/>
      </c>
    </row>
    <row r="131" spans="2:9">
      <c r="B131" s="164">
        <v>45777</v>
      </c>
      <c r="C131" t="s">
        <v>133</v>
      </c>
      <c r="D131">
        <v>2</v>
      </c>
      <c r="E131">
        <v>870000</v>
      </c>
      <c r="F131">
        <v>32033467</v>
      </c>
      <c r="G131">
        <v>1000</v>
      </c>
      <c r="H131" t="str">
        <f>IF(C131=C130,"",COUNTIF(G131,1000)+COUNTIF(G131,2000))</f>
        <v/>
      </c>
      <c r="I131" t="str">
        <f>IF(H131=0,"",IF(C131=C130,"",SUM($H$3:H131)))</f>
        <v/>
      </c>
    </row>
    <row r="132" spans="2:9">
      <c r="B132" s="164">
        <v>45777</v>
      </c>
      <c r="C132" t="s">
        <v>133</v>
      </c>
      <c r="D132">
        <v>2</v>
      </c>
      <c r="E132">
        <v>870000</v>
      </c>
      <c r="F132">
        <v>32033467</v>
      </c>
      <c r="G132">
        <v>1000</v>
      </c>
      <c r="H132" t="str">
        <f>IF(C132=C131,"",COUNTIF(G132,1000)+COUNTIF(G132,2000))</f>
        <v/>
      </c>
      <c r="I132" t="str">
        <f>IF(H132=0,"",IF(C132=C131,"",SUM($H$3:H132)))</f>
        <v/>
      </c>
    </row>
    <row r="133" spans="2:9">
      <c r="B133" s="164">
        <v>45777</v>
      </c>
      <c r="C133" t="s">
        <v>133</v>
      </c>
      <c r="D133">
        <v>2</v>
      </c>
      <c r="E133">
        <v>870000</v>
      </c>
      <c r="F133">
        <v>32033467</v>
      </c>
      <c r="G133">
        <v>1000</v>
      </c>
      <c r="H133" t="str">
        <f>IF(C133=C132,"",COUNTIF(G133,1000)+COUNTIF(G133,2000))</f>
        <v/>
      </c>
      <c r="I133" t="str">
        <f>IF(H133=0,"",IF(C133=C132,"",SUM($H$3:H133)))</f>
        <v/>
      </c>
    </row>
    <row r="134" spans="2:9">
      <c r="B134" s="164">
        <v>45777</v>
      </c>
      <c r="C134" t="s">
        <v>133</v>
      </c>
      <c r="D134">
        <v>2</v>
      </c>
      <c r="E134">
        <v>870000</v>
      </c>
      <c r="F134">
        <v>32033467</v>
      </c>
      <c r="G134">
        <v>1000</v>
      </c>
      <c r="H134" t="str">
        <f>IF(C134=C133,"",COUNTIF(G134,1000)+COUNTIF(G134,2000))</f>
        <v/>
      </c>
      <c r="I134" t="str">
        <f>IF(H134=0,"",IF(C134=C133,"",SUM($H$3:H134)))</f>
        <v/>
      </c>
    </row>
    <row r="135" spans="2:9">
      <c r="B135" s="164">
        <v>45777</v>
      </c>
      <c r="C135" t="s">
        <v>133</v>
      </c>
      <c r="D135">
        <v>2</v>
      </c>
      <c r="E135">
        <v>870000</v>
      </c>
      <c r="F135">
        <v>32033467</v>
      </c>
      <c r="G135">
        <v>1000</v>
      </c>
      <c r="H135" t="str">
        <f>IF(C135=C134,"",COUNTIF(G135,1000)+COUNTIF(G135,2000))</f>
        <v/>
      </c>
      <c r="I135" t="str">
        <f>IF(H135=0,"",IF(C135=C134,"",SUM($H$3:H135)))</f>
        <v/>
      </c>
    </row>
    <row r="136" spans="2:9">
      <c r="B136" s="164">
        <v>45777</v>
      </c>
      <c r="C136" t="s">
        <v>133</v>
      </c>
      <c r="D136">
        <v>3</v>
      </c>
      <c r="E136">
        <v>870000</v>
      </c>
      <c r="F136">
        <v>32033467</v>
      </c>
      <c r="G136">
        <v>1000</v>
      </c>
      <c r="H136" t="str">
        <f>IF(C136=C135,"",COUNTIF(G136,1000)+COUNTIF(G136,2000))</f>
        <v/>
      </c>
      <c r="I136" t="str">
        <f>IF(H136=0,"",IF(C136=C135,"",SUM($H$3:H136)))</f>
        <v/>
      </c>
    </row>
    <row r="137" spans="2:9">
      <c r="B137" s="164">
        <v>45777</v>
      </c>
      <c r="C137" t="s">
        <v>133</v>
      </c>
      <c r="D137">
        <v>1</v>
      </c>
      <c r="E137">
        <v>870000</v>
      </c>
      <c r="F137">
        <v>32033467</v>
      </c>
      <c r="G137">
        <v>1000</v>
      </c>
      <c r="H137" t="str">
        <f>IF(C137=C136,"",COUNTIF(G137,1000)+COUNTIF(G137,2000))</f>
        <v/>
      </c>
      <c r="I137" t="str">
        <f>IF(H137=0,"",IF(C137=C136,"",SUM($H$3:H137)))</f>
        <v/>
      </c>
    </row>
    <row r="138" spans="2:9">
      <c r="B138" s="164">
        <v>45777</v>
      </c>
      <c r="C138" t="s">
        <v>133</v>
      </c>
      <c r="D138">
        <v>1</v>
      </c>
      <c r="E138">
        <v>870000</v>
      </c>
      <c r="F138">
        <v>32033467</v>
      </c>
      <c r="G138">
        <v>1000</v>
      </c>
      <c r="H138" t="str">
        <f>IF(C138=C137,"",COUNTIF(G138,1000)+COUNTIF(G138,2000))</f>
        <v/>
      </c>
      <c r="I138" t="str">
        <f>IF(H138=0,"",IF(C138=C137,"",SUM($H$3:H138)))</f>
        <v/>
      </c>
    </row>
    <row r="139" spans="2:9">
      <c r="B139" s="164">
        <v>45777</v>
      </c>
      <c r="C139" t="s">
        <v>133</v>
      </c>
      <c r="D139">
        <v>1</v>
      </c>
      <c r="E139">
        <v>870000</v>
      </c>
      <c r="F139">
        <v>32033467</v>
      </c>
      <c r="G139">
        <v>1000</v>
      </c>
      <c r="H139" t="str">
        <f>IF(C139=C138,"",COUNTIF(G139,1000)+COUNTIF(G139,2000))</f>
        <v/>
      </c>
      <c r="I139" t="str">
        <f>IF(H139=0,"",IF(C139=C138,"",SUM($H$3:H139)))</f>
        <v/>
      </c>
    </row>
    <row r="140" spans="2:9">
      <c r="B140" s="164">
        <v>45777</v>
      </c>
      <c r="C140" t="s">
        <v>133</v>
      </c>
      <c r="D140">
        <v>1</v>
      </c>
      <c r="E140">
        <v>870000</v>
      </c>
      <c r="F140">
        <v>32033467</v>
      </c>
      <c r="G140">
        <v>1000</v>
      </c>
      <c r="H140" t="str">
        <f>IF(C140=C139,"",COUNTIF(G140,1000)+COUNTIF(G140,2000))</f>
        <v/>
      </c>
      <c r="I140" t="str">
        <f>IF(H140=0,"",IF(C140=C139,"",SUM($H$3:H140)))</f>
        <v/>
      </c>
    </row>
    <row r="141" spans="2:9">
      <c r="B141" s="164">
        <v>45777</v>
      </c>
      <c r="C141" t="s">
        <v>133</v>
      </c>
      <c r="D141">
        <v>2</v>
      </c>
      <c r="E141">
        <v>870000</v>
      </c>
      <c r="F141">
        <v>32033467</v>
      </c>
      <c r="G141">
        <v>1000</v>
      </c>
      <c r="H141" t="str">
        <f>IF(C141=C140,"",COUNTIF(G141,1000)+COUNTIF(G141,2000))</f>
        <v/>
      </c>
      <c r="I141" t="str">
        <f>IF(H141=0,"",IF(C141=C140,"",SUM($H$3:H141)))</f>
        <v/>
      </c>
    </row>
    <row r="142" spans="2:9">
      <c r="B142" s="164">
        <v>45777</v>
      </c>
      <c r="C142" t="s">
        <v>133</v>
      </c>
      <c r="D142">
        <v>2</v>
      </c>
      <c r="E142">
        <v>870000</v>
      </c>
      <c r="F142">
        <v>32033467</v>
      </c>
      <c r="G142">
        <v>1000</v>
      </c>
      <c r="H142" t="str">
        <f>IF(C142=C141,"",COUNTIF(G142,1000)+COUNTIF(G142,2000))</f>
        <v/>
      </c>
      <c r="I142" t="str">
        <f>IF(H142=0,"",IF(C142=C141,"",SUM($H$3:H142)))</f>
        <v/>
      </c>
    </row>
    <row r="143" spans="2:9">
      <c r="B143" s="164">
        <v>45777</v>
      </c>
      <c r="C143" t="s">
        <v>133</v>
      </c>
      <c r="D143">
        <v>2</v>
      </c>
      <c r="E143">
        <v>870000</v>
      </c>
      <c r="F143">
        <v>32033467</v>
      </c>
      <c r="G143">
        <v>1000</v>
      </c>
      <c r="H143" t="str">
        <f>IF(C143=C142,"",COUNTIF(G143,1000)+COUNTIF(G143,2000))</f>
        <v/>
      </c>
      <c r="I143" t="str">
        <f>IF(H143=0,"",IF(C143=C142,"",SUM($H$3:H143)))</f>
        <v/>
      </c>
    </row>
    <row r="144" spans="2:9">
      <c r="B144" s="164">
        <v>45777</v>
      </c>
      <c r="C144" t="s">
        <v>133</v>
      </c>
      <c r="D144">
        <v>2</v>
      </c>
      <c r="E144">
        <v>870000</v>
      </c>
      <c r="F144">
        <v>32033467</v>
      </c>
      <c r="G144">
        <v>1000</v>
      </c>
      <c r="H144" t="str">
        <f>IF(C144=C143,"",COUNTIF(G144,1000)+COUNTIF(G144,2000))</f>
        <v/>
      </c>
      <c r="I144" t="str">
        <f>IF(H144=0,"",IF(C144=C143,"",SUM($H$3:H144)))</f>
        <v/>
      </c>
    </row>
    <row r="145" spans="2:9">
      <c r="B145" s="164">
        <v>45777</v>
      </c>
      <c r="C145" t="s">
        <v>133</v>
      </c>
      <c r="D145">
        <v>2</v>
      </c>
      <c r="E145">
        <v>870000</v>
      </c>
      <c r="F145">
        <v>32033467</v>
      </c>
      <c r="G145">
        <v>1000</v>
      </c>
      <c r="H145" t="str">
        <f>IF(C145=C144,"",COUNTIF(G145,1000)+COUNTIF(G145,2000))</f>
        <v/>
      </c>
      <c r="I145" t="str">
        <f>IF(H145=0,"",IF(C145=C144,"",SUM($H$3:H145)))</f>
        <v/>
      </c>
    </row>
    <row r="146" spans="2:9">
      <c r="B146" s="164">
        <v>45777</v>
      </c>
      <c r="C146" t="s">
        <v>133</v>
      </c>
      <c r="D146">
        <v>2</v>
      </c>
      <c r="E146">
        <v>870000</v>
      </c>
      <c r="F146">
        <v>32033467</v>
      </c>
      <c r="G146">
        <v>1000</v>
      </c>
      <c r="H146" t="str">
        <f>IF(C146=C145,"",COUNTIF(G146,1000)+COUNTIF(G146,2000))</f>
        <v/>
      </c>
      <c r="I146" t="str">
        <f>IF(H146=0,"",IF(C146=C145,"",SUM($H$3:H146)))</f>
        <v/>
      </c>
    </row>
    <row r="147" spans="2:9">
      <c r="B147" s="164">
        <v>45777</v>
      </c>
      <c r="C147" t="s">
        <v>133</v>
      </c>
      <c r="D147">
        <v>2</v>
      </c>
      <c r="E147">
        <v>870000</v>
      </c>
      <c r="F147">
        <v>32033467</v>
      </c>
      <c r="G147">
        <v>1000</v>
      </c>
      <c r="H147" t="str">
        <f>IF(C147=C146,"",COUNTIF(G147,1000)+COUNTIF(G147,2000))</f>
        <v/>
      </c>
      <c r="I147" t="str">
        <f>IF(H147=0,"",IF(C147=C146,"",SUM($H$3:H147)))</f>
        <v/>
      </c>
    </row>
    <row r="148" spans="2:9">
      <c r="B148" s="164">
        <v>45777</v>
      </c>
      <c r="C148" t="s">
        <v>133</v>
      </c>
      <c r="D148">
        <v>2</v>
      </c>
      <c r="E148">
        <v>870000</v>
      </c>
      <c r="F148">
        <v>32033467</v>
      </c>
      <c r="G148">
        <v>1000</v>
      </c>
      <c r="H148" t="str">
        <f>IF(C148=C147,"",COUNTIF(G148,1000)+COUNTIF(G148,2000))</f>
        <v/>
      </c>
      <c r="I148" t="str">
        <f>IF(H148=0,"",IF(C148=C147,"",SUM($H$3:H148)))</f>
        <v/>
      </c>
    </row>
    <row r="149" spans="2:9">
      <c r="B149" s="164">
        <v>45777</v>
      </c>
      <c r="C149" t="s">
        <v>133</v>
      </c>
      <c r="D149">
        <v>2</v>
      </c>
      <c r="E149">
        <v>870000</v>
      </c>
      <c r="F149">
        <v>32033467</v>
      </c>
      <c r="G149">
        <v>1000</v>
      </c>
      <c r="H149" t="str">
        <f>IF(C149=C148,"",COUNTIF(G149,1000)+COUNTIF(G149,2000))</f>
        <v/>
      </c>
      <c r="I149" t="str">
        <f>IF(H149=0,"",IF(C149=C148,"",SUM($H$3:H149)))</f>
        <v/>
      </c>
    </row>
    <row r="150" spans="2:9">
      <c r="B150" s="164">
        <v>45777</v>
      </c>
      <c r="C150" t="s">
        <v>133</v>
      </c>
      <c r="D150">
        <v>2</v>
      </c>
      <c r="E150">
        <v>870000</v>
      </c>
      <c r="F150">
        <v>32033467</v>
      </c>
      <c r="G150">
        <v>1000</v>
      </c>
      <c r="H150" t="str">
        <f>IF(C150=C149,"",COUNTIF(G150,1000)+COUNTIF(G150,2000))</f>
        <v/>
      </c>
      <c r="I150" t="str">
        <f>IF(H150=0,"",IF(C150=C149,"",SUM($H$3:H150)))</f>
        <v/>
      </c>
    </row>
    <row r="151" spans="2:9">
      <c r="B151" s="164">
        <v>45777</v>
      </c>
      <c r="C151" t="s">
        <v>133</v>
      </c>
      <c r="D151">
        <v>2</v>
      </c>
      <c r="E151">
        <v>870000</v>
      </c>
      <c r="F151">
        <v>32033467</v>
      </c>
      <c r="G151">
        <v>1000</v>
      </c>
      <c r="H151" t="str">
        <f>IF(C151=C150,"",COUNTIF(G151,1000)+COUNTIF(G151,2000))</f>
        <v/>
      </c>
      <c r="I151" t="str">
        <f>IF(H151=0,"",IF(C151=C150,"",SUM($H$3:H151)))</f>
        <v/>
      </c>
    </row>
    <row r="152" spans="2:9">
      <c r="B152" s="164">
        <v>45777</v>
      </c>
      <c r="C152" t="s">
        <v>133</v>
      </c>
      <c r="D152">
        <v>2</v>
      </c>
      <c r="E152">
        <v>870000</v>
      </c>
      <c r="F152">
        <v>32033467</v>
      </c>
      <c r="G152">
        <v>1000</v>
      </c>
      <c r="H152" t="str">
        <f>IF(C152=C151,"",COUNTIF(G152,1000)+COUNTIF(G152,2000))</f>
        <v/>
      </c>
      <c r="I152" t="str">
        <f>IF(H152=0,"",IF(C152=C151,"",SUM($H$3:H152)))</f>
        <v/>
      </c>
    </row>
    <row r="153" spans="2:9">
      <c r="B153" s="164">
        <v>45777</v>
      </c>
      <c r="C153" t="s">
        <v>133</v>
      </c>
      <c r="D153">
        <v>3</v>
      </c>
      <c r="E153">
        <v>870000</v>
      </c>
      <c r="F153">
        <v>32033467</v>
      </c>
      <c r="G153">
        <v>1000</v>
      </c>
      <c r="H153" t="str">
        <f>IF(C153=C152,"",COUNTIF(G153,1000)+COUNTIF(G153,2000))</f>
        <v/>
      </c>
      <c r="I153" t="str">
        <f>IF(H153=0,"",IF(C153=C152,"",SUM($H$3:H153)))</f>
        <v/>
      </c>
    </row>
    <row r="154" spans="2:9">
      <c r="B154" s="164">
        <v>45777</v>
      </c>
      <c r="C154" t="s">
        <v>133</v>
      </c>
      <c r="D154">
        <v>3</v>
      </c>
      <c r="E154">
        <v>870000</v>
      </c>
      <c r="F154">
        <v>32033467</v>
      </c>
      <c r="G154">
        <v>1000</v>
      </c>
      <c r="H154" t="str">
        <f>IF(C154=C153,"",COUNTIF(G154,1000)+COUNTIF(G154,2000))</f>
        <v/>
      </c>
      <c r="I154" t="str">
        <f>IF(H154=0,"",IF(C154=C153,"",SUM($H$3:H154)))</f>
        <v/>
      </c>
    </row>
    <row r="155" spans="2:9">
      <c r="B155" s="164">
        <v>45777</v>
      </c>
      <c r="C155" t="s">
        <v>133</v>
      </c>
      <c r="D155">
        <v>3</v>
      </c>
      <c r="E155">
        <v>870000</v>
      </c>
      <c r="F155">
        <v>32033467</v>
      </c>
      <c r="G155">
        <v>1000</v>
      </c>
      <c r="H155" t="str">
        <f>IF(C155=C154,"",COUNTIF(G155,1000)+COUNTIF(G155,2000))</f>
        <v/>
      </c>
      <c r="I155" t="str">
        <f>IF(H155=0,"",IF(C155=C154,"",SUM($H$3:H155)))</f>
        <v/>
      </c>
    </row>
    <row r="156" spans="2:9">
      <c r="B156" s="164">
        <v>45777</v>
      </c>
      <c r="C156" t="s">
        <v>133</v>
      </c>
      <c r="D156">
        <v>3</v>
      </c>
      <c r="E156">
        <v>870000</v>
      </c>
      <c r="F156">
        <v>32033467</v>
      </c>
      <c r="G156">
        <v>1000</v>
      </c>
      <c r="H156" t="str">
        <f>IF(C156=C155,"",COUNTIF(G156,1000)+COUNTIF(G156,2000))</f>
        <v/>
      </c>
      <c r="I156" t="str">
        <f>IF(H156=0,"",IF(C156=C155,"",SUM($H$3:H156)))</f>
        <v/>
      </c>
    </row>
    <row r="157" spans="2:9">
      <c r="B157" s="164">
        <v>45777</v>
      </c>
      <c r="C157" t="s">
        <v>133</v>
      </c>
      <c r="D157">
        <v>3</v>
      </c>
      <c r="E157">
        <v>870000</v>
      </c>
      <c r="F157">
        <v>32033467</v>
      </c>
      <c r="G157">
        <v>1000</v>
      </c>
      <c r="H157" t="str">
        <f>IF(C157=C156,"",COUNTIF(G157,1000)+COUNTIF(G157,2000))</f>
        <v/>
      </c>
      <c r="I157" t="str">
        <f>IF(H157=0,"",IF(C157=C156,"",SUM($H$3:H157)))</f>
        <v/>
      </c>
    </row>
    <row r="158" spans="2:9">
      <c r="B158" s="164">
        <v>45777</v>
      </c>
      <c r="C158" t="s">
        <v>133</v>
      </c>
      <c r="D158">
        <v>2</v>
      </c>
      <c r="E158">
        <v>870000</v>
      </c>
      <c r="F158">
        <v>32033467</v>
      </c>
      <c r="G158">
        <v>1000</v>
      </c>
      <c r="H158" t="str">
        <f>IF(C158=C157,"",COUNTIF(G158,1000)+COUNTIF(G158,2000))</f>
        <v/>
      </c>
      <c r="I158" t="str">
        <f>IF(H158=0,"",IF(C158=C157,"",SUM($H$3:H158)))</f>
        <v/>
      </c>
    </row>
    <row r="159" spans="2:9">
      <c r="B159" s="164">
        <v>45777</v>
      </c>
      <c r="C159" t="s">
        <v>133</v>
      </c>
      <c r="D159">
        <v>2</v>
      </c>
      <c r="E159">
        <v>870000</v>
      </c>
      <c r="F159">
        <v>32033467</v>
      </c>
      <c r="G159">
        <v>1000</v>
      </c>
      <c r="H159" t="str">
        <f>IF(C159=C158,"",COUNTIF(G159,1000)+COUNTIF(G159,2000))</f>
        <v/>
      </c>
      <c r="I159" t="str">
        <f>IF(H159=0,"",IF(C159=C158,"",SUM($H$3:H159)))</f>
        <v/>
      </c>
    </row>
    <row r="160" spans="2:9">
      <c r="B160" s="164">
        <v>45777</v>
      </c>
      <c r="C160" t="s">
        <v>133</v>
      </c>
      <c r="D160">
        <v>2</v>
      </c>
      <c r="E160">
        <v>870000</v>
      </c>
      <c r="F160">
        <v>32033467</v>
      </c>
      <c r="G160">
        <v>1000</v>
      </c>
      <c r="H160" t="str">
        <f>IF(C160=C159,"",COUNTIF(G160,1000)+COUNTIF(G160,2000))</f>
        <v/>
      </c>
      <c r="I160" t="str">
        <f>IF(H160=0,"",IF(C160=C159,"",SUM($H$3:H160)))</f>
        <v/>
      </c>
    </row>
    <row r="161" spans="2:9">
      <c r="B161" s="164">
        <v>45777</v>
      </c>
      <c r="C161" t="s">
        <v>133</v>
      </c>
      <c r="D161">
        <v>2</v>
      </c>
      <c r="E161">
        <v>870000</v>
      </c>
      <c r="F161">
        <v>32033467</v>
      </c>
      <c r="G161">
        <v>1000</v>
      </c>
      <c r="H161" t="str">
        <f>IF(C161=C160,"",COUNTIF(G161,1000)+COUNTIF(G161,2000))</f>
        <v/>
      </c>
      <c r="I161" t="str">
        <f>IF(H161=0,"",IF(C161=C160,"",SUM($H$3:H161)))</f>
        <v/>
      </c>
    </row>
    <row r="162" spans="2:9">
      <c r="B162" s="164">
        <v>45777</v>
      </c>
      <c r="C162" t="s">
        <v>133</v>
      </c>
      <c r="D162">
        <v>2</v>
      </c>
      <c r="E162">
        <v>870000</v>
      </c>
      <c r="F162">
        <v>32033467</v>
      </c>
      <c r="G162">
        <v>1000</v>
      </c>
      <c r="H162" t="str">
        <f>IF(C162=C161,"",COUNTIF(G162,1000)+COUNTIF(G162,2000))</f>
        <v/>
      </c>
      <c r="I162" t="str">
        <f>IF(H162=0,"",IF(C162=C161,"",SUM($H$3:H162)))</f>
        <v/>
      </c>
    </row>
    <row r="163" spans="2:9">
      <c r="B163" s="164">
        <v>45777</v>
      </c>
      <c r="C163" t="s">
        <v>133</v>
      </c>
      <c r="D163">
        <v>2</v>
      </c>
      <c r="E163">
        <v>870000</v>
      </c>
      <c r="F163">
        <v>32033467</v>
      </c>
      <c r="G163">
        <v>1000</v>
      </c>
      <c r="H163" t="str">
        <f>IF(C163=C162,"",COUNTIF(G163,1000)+COUNTIF(G163,2000))</f>
        <v/>
      </c>
      <c r="I163" t="str">
        <f>IF(H163=0,"",IF(C163=C162,"",SUM($H$3:H163)))</f>
        <v/>
      </c>
    </row>
    <row r="164" spans="2:9">
      <c r="B164" s="164">
        <v>45777</v>
      </c>
      <c r="C164" t="s">
        <v>133</v>
      </c>
      <c r="D164">
        <v>2</v>
      </c>
      <c r="E164">
        <v>870000</v>
      </c>
      <c r="F164">
        <v>32033467</v>
      </c>
      <c r="G164">
        <v>1000</v>
      </c>
      <c r="H164" t="str">
        <f>IF(C164=C163,"",COUNTIF(G164,1000)+COUNTIF(G164,2000))</f>
        <v/>
      </c>
      <c r="I164" t="str">
        <f>IF(H164=0,"",IF(C164=C163,"",SUM($H$3:H164)))</f>
        <v/>
      </c>
    </row>
    <row r="165" spans="2:9">
      <c r="B165" s="164">
        <v>45777</v>
      </c>
      <c r="C165" t="s">
        <v>133</v>
      </c>
      <c r="D165">
        <v>2</v>
      </c>
      <c r="E165">
        <v>870000</v>
      </c>
      <c r="F165">
        <v>32033467</v>
      </c>
      <c r="G165">
        <v>1000</v>
      </c>
      <c r="H165" t="str">
        <f>IF(C165=C164,"",COUNTIF(G165,1000)+COUNTIF(G165,2000))</f>
        <v/>
      </c>
      <c r="I165" t="str">
        <f>IF(H165=0,"",IF(C165=C164,"",SUM($H$3:H165)))</f>
        <v/>
      </c>
    </row>
    <row r="166" spans="2:9">
      <c r="B166" s="164">
        <v>45777</v>
      </c>
      <c r="C166" t="s">
        <v>133</v>
      </c>
      <c r="D166">
        <v>2</v>
      </c>
      <c r="E166">
        <v>870000</v>
      </c>
      <c r="F166">
        <v>32033467</v>
      </c>
      <c r="G166">
        <v>1000</v>
      </c>
      <c r="H166" t="str">
        <f>IF(C166=C165,"",COUNTIF(G166,1000)+COUNTIF(G166,2000))</f>
        <v/>
      </c>
      <c r="I166" t="str">
        <f>IF(H166=0,"",IF(C166=C165,"",SUM($H$3:H166)))</f>
        <v/>
      </c>
    </row>
    <row r="167" spans="2:9">
      <c r="B167" s="164">
        <v>45777</v>
      </c>
      <c r="C167" t="s">
        <v>133</v>
      </c>
      <c r="D167">
        <v>2</v>
      </c>
      <c r="E167">
        <v>870000</v>
      </c>
      <c r="F167">
        <v>32033467</v>
      </c>
      <c r="G167">
        <v>1000</v>
      </c>
      <c r="H167" t="str">
        <f>IF(C167=C166,"",COUNTIF(G167,1000)+COUNTIF(G167,2000))</f>
        <v/>
      </c>
      <c r="I167" t="str">
        <f>IF(H167=0,"",IF(C167=C166,"",SUM($H$3:H167)))</f>
        <v/>
      </c>
    </row>
    <row r="168" spans="2:9">
      <c r="B168" s="164">
        <v>45777</v>
      </c>
      <c r="C168" t="s">
        <v>133</v>
      </c>
      <c r="D168">
        <v>2</v>
      </c>
      <c r="E168">
        <v>870000</v>
      </c>
      <c r="F168">
        <v>32033467</v>
      </c>
      <c r="G168">
        <v>1000</v>
      </c>
      <c r="H168" t="str">
        <f>IF(C168=C167,"",COUNTIF(G168,1000)+COUNTIF(G168,2000))</f>
        <v/>
      </c>
      <c r="I168" t="str">
        <f>IF(H168=0,"",IF(C168=C167,"",SUM($H$3:H168)))</f>
        <v/>
      </c>
    </row>
    <row r="169" spans="2:9">
      <c r="B169" s="164">
        <v>45777</v>
      </c>
      <c r="C169" t="s">
        <v>133</v>
      </c>
      <c r="D169">
        <v>2</v>
      </c>
      <c r="E169">
        <v>870000</v>
      </c>
      <c r="F169">
        <v>32033467</v>
      </c>
      <c r="G169">
        <v>1000</v>
      </c>
      <c r="H169" t="str">
        <f>IF(C169=C168,"",COUNTIF(G169,1000)+COUNTIF(G169,2000))</f>
        <v/>
      </c>
      <c r="I169" t="str">
        <f>IF(H169=0,"",IF(C169=C168,"",SUM($H$3:H169)))</f>
        <v/>
      </c>
    </row>
    <row r="170" spans="2:9">
      <c r="B170" s="164">
        <v>45777</v>
      </c>
      <c r="C170" t="s">
        <v>133</v>
      </c>
      <c r="D170">
        <v>2</v>
      </c>
      <c r="E170">
        <v>870000</v>
      </c>
      <c r="F170">
        <v>32033467</v>
      </c>
      <c r="G170">
        <v>1000</v>
      </c>
      <c r="H170" t="str">
        <f>IF(C170=C169,"",COUNTIF(G170,1000)+COUNTIF(G170,2000))</f>
        <v/>
      </c>
      <c r="I170" t="str">
        <f>IF(H170=0,"",IF(C170=C169,"",SUM($H$3:H170)))</f>
        <v/>
      </c>
    </row>
    <row r="171" spans="2:9">
      <c r="B171" s="164">
        <v>45777</v>
      </c>
      <c r="C171" t="s">
        <v>133</v>
      </c>
      <c r="D171">
        <v>2</v>
      </c>
      <c r="E171">
        <v>870000</v>
      </c>
      <c r="F171">
        <v>32033467</v>
      </c>
      <c r="G171">
        <v>1000</v>
      </c>
      <c r="H171" t="str">
        <f>IF(C171=C170,"",COUNTIF(G171,1000)+COUNTIF(G171,2000))</f>
        <v/>
      </c>
      <c r="I171" t="str">
        <f>IF(H171=0,"",IF(C171=C170,"",SUM($H$3:H171)))</f>
        <v/>
      </c>
    </row>
    <row r="172" spans="2:9">
      <c r="B172" s="164">
        <v>45777</v>
      </c>
      <c r="C172" t="s">
        <v>133</v>
      </c>
      <c r="D172">
        <v>2</v>
      </c>
      <c r="E172">
        <v>870000</v>
      </c>
      <c r="F172">
        <v>32033467</v>
      </c>
      <c r="G172">
        <v>1000</v>
      </c>
      <c r="H172" t="str">
        <f>IF(C172=C171,"",COUNTIF(G172,1000)+COUNTIF(G172,2000))</f>
        <v/>
      </c>
      <c r="I172" t="str">
        <f>IF(H172=0,"",IF(C172=C171,"",SUM($H$3:H172)))</f>
        <v/>
      </c>
    </row>
    <row r="173" spans="2:9">
      <c r="B173" s="164">
        <v>45777</v>
      </c>
      <c r="C173" t="s">
        <v>133</v>
      </c>
      <c r="D173">
        <v>1</v>
      </c>
      <c r="E173">
        <v>870000</v>
      </c>
      <c r="F173">
        <v>32033467</v>
      </c>
      <c r="G173">
        <v>1000</v>
      </c>
      <c r="H173" t="str">
        <f>IF(C173=C172,"",COUNTIF(G173,1000)+COUNTIF(G173,2000))</f>
        <v/>
      </c>
      <c r="I173" t="str">
        <f>IF(H173=0,"",IF(C173=C172,"",SUM($H$3:H173)))</f>
        <v/>
      </c>
    </row>
    <row r="174" spans="2:9">
      <c r="B174" s="164">
        <v>45777</v>
      </c>
      <c r="C174" t="s">
        <v>133</v>
      </c>
      <c r="D174">
        <v>3</v>
      </c>
      <c r="E174">
        <v>870000</v>
      </c>
      <c r="F174">
        <v>32033467</v>
      </c>
      <c r="G174">
        <v>1000</v>
      </c>
      <c r="H174" t="str">
        <f>IF(C174=C173,"",COUNTIF(G174,1000)+COUNTIF(G174,2000))</f>
        <v/>
      </c>
      <c r="I174" t="str">
        <f>IF(H174=0,"",IF(C174=C173,"",SUM($H$3:H174)))</f>
        <v/>
      </c>
    </row>
    <row r="175" spans="2:9">
      <c r="B175" s="164">
        <v>45777</v>
      </c>
      <c r="C175" t="s">
        <v>133</v>
      </c>
      <c r="D175">
        <v>3</v>
      </c>
      <c r="E175">
        <v>870000</v>
      </c>
      <c r="F175">
        <v>32033467</v>
      </c>
      <c r="G175">
        <v>1000</v>
      </c>
      <c r="H175" t="str">
        <f>IF(C175=C174,"",COUNTIF(G175,1000)+COUNTIF(G175,2000))</f>
        <v/>
      </c>
      <c r="I175" t="str">
        <f>IF(H175=0,"",IF(C175=C174,"",SUM($H$3:H175)))</f>
        <v/>
      </c>
    </row>
    <row r="176" spans="2:9">
      <c r="B176" s="164">
        <v>45777</v>
      </c>
      <c r="C176" t="s">
        <v>133</v>
      </c>
      <c r="D176">
        <v>3</v>
      </c>
      <c r="E176">
        <v>870000</v>
      </c>
      <c r="F176">
        <v>32033467</v>
      </c>
      <c r="G176">
        <v>1000</v>
      </c>
      <c r="H176" t="str">
        <f>IF(C176=C175,"",COUNTIF(G176,1000)+COUNTIF(G176,2000))</f>
        <v/>
      </c>
      <c r="I176" t="str">
        <f>IF(H176=0,"",IF(C176=C175,"",SUM($H$3:H176)))</f>
        <v/>
      </c>
    </row>
    <row r="177" spans="2:9">
      <c r="B177" s="164">
        <v>45777</v>
      </c>
      <c r="C177" t="s">
        <v>133</v>
      </c>
      <c r="D177">
        <v>3</v>
      </c>
      <c r="E177">
        <v>870000</v>
      </c>
      <c r="F177">
        <v>32033467</v>
      </c>
      <c r="G177">
        <v>1000</v>
      </c>
      <c r="H177" t="str">
        <f>IF(C177=C176,"",COUNTIF(G177,1000)+COUNTIF(G177,2000))</f>
        <v/>
      </c>
      <c r="I177" t="str">
        <f>IF(H177=0,"",IF(C177=C176,"",SUM($H$3:H177)))</f>
        <v/>
      </c>
    </row>
    <row r="178" spans="2:9">
      <c r="B178" s="164">
        <v>45777</v>
      </c>
      <c r="C178" t="s">
        <v>133</v>
      </c>
      <c r="D178">
        <v>3</v>
      </c>
      <c r="E178">
        <v>870000</v>
      </c>
      <c r="F178">
        <v>32033467</v>
      </c>
      <c r="G178">
        <v>1000</v>
      </c>
      <c r="H178" t="str">
        <f>IF(C178=C177,"",COUNTIF(G178,1000)+COUNTIF(G178,2000))</f>
        <v/>
      </c>
      <c r="I178" t="str">
        <f>IF(H178=0,"",IF(C178=C177,"",SUM($H$3:H178)))</f>
        <v/>
      </c>
    </row>
    <row r="179" spans="2:9">
      <c r="B179" s="164">
        <v>45777</v>
      </c>
      <c r="C179" t="s">
        <v>133</v>
      </c>
      <c r="D179">
        <v>3</v>
      </c>
      <c r="E179">
        <v>870000</v>
      </c>
      <c r="F179">
        <v>32033467</v>
      </c>
      <c r="G179">
        <v>1000</v>
      </c>
      <c r="H179" t="str">
        <f>IF(C179=C178,"",COUNTIF(G179,1000)+COUNTIF(G179,2000))</f>
        <v/>
      </c>
      <c r="I179" t="str">
        <f>IF(H179=0,"",IF(C179=C178,"",SUM($H$3:H179)))</f>
        <v/>
      </c>
    </row>
    <row r="180" spans="2:9">
      <c r="B180" s="164">
        <v>45777</v>
      </c>
      <c r="C180" t="s">
        <v>133</v>
      </c>
      <c r="D180">
        <v>3</v>
      </c>
      <c r="E180">
        <v>870000</v>
      </c>
      <c r="F180">
        <v>32033467</v>
      </c>
      <c r="G180">
        <v>1000</v>
      </c>
      <c r="H180" t="str">
        <f>IF(C180=C179,"",COUNTIF(G180,1000)+COUNTIF(G180,2000))</f>
        <v/>
      </c>
      <c r="I180" t="str">
        <f>IF(H180=0,"",IF(C180=C179,"",SUM($H$3:H180)))</f>
        <v/>
      </c>
    </row>
    <row r="181" spans="2:9">
      <c r="B181" s="164">
        <v>45777</v>
      </c>
      <c r="C181" t="s">
        <v>133</v>
      </c>
      <c r="D181">
        <v>3</v>
      </c>
      <c r="E181">
        <v>870000</v>
      </c>
      <c r="F181">
        <v>32033467</v>
      </c>
      <c r="G181">
        <v>1000</v>
      </c>
      <c r="H181" t="str">
        <f>IF(C181=C180,"",COUNTIF(G181,1000)+COUNTIF(G181,2000))</f>
        <v/>
      </c>
      <c r="I181" t="str">
        <f>IF(H181=0,"",IF(C181=C180,"",SUM($H$3:H181)))</f>
        <v/>
      </c>
    </row>
    <row r="182" spans="2:9">
      <c r="B182" s="164">
        <v>45777</v>
      </c>
      <c r="C182" t="s">
        <v>133</v>
      </c>
      <c r="D182">
        <v>1</v>
      </c>
      <c r="E182">
        <v>870000</v>
      </c>
      <c r="F182">
        <v>32033467</v>
      </c>
      <c r="G182">
        <v>1000</v>
      </c>
      <c r="H182" t="str">
        <f>IF(C182=C181,"",COUNTIF(G182,1000)+COUNTIF(G182,2000))</f>
        <v/>
      </c>
      <c r="I182" t="str">
        <f>IF(H182=0,"",IF(C182=C181,"",SUM($H$3:H182)))</f>
        <v/>
      </c>
    </row>
    <row r="183" spans="2:9">
      <c r="B183" s="164">
        <v>45777</v>
      </c>
      <c r="C183" t="s">
        <v>133</v>
      </c>
      <c r="D183">
        <v>1</v>
      </c>
      <c r="E183">
        <v>870000</v>
      </c>
      <c r="F183">
        <v>32033467</v>
      </c>
      <c r="G183">
        <v>1000</v>
      </c>
      <c r="H183" t="str">
        <f>IF(C183=C182,"",COUNTIF(G183,1000)+COUNTIF(G183,2000))</f>
        <v/>
      </c>
      <c r="I183" t="str">
        <f>IF(H183=0,"",IF(C183=C182,"",SUM($H$3:H183)))</f>
        <v/>
      </c>
    </row>
    <row r="184" spans="2:9">
      <c r="B184" s="164">
        <v>45777</v>
      </c>
      <c r="C184" t="s">
        <v>133</v>
      </c>
      <c r="D184">
        <v>1</v>
      </c>
      <c r="E184">
        <v>870000</v>
      </c>
      <c r="F184">
        <v>32033467</v>
      </c>
      <c r="G184">
        <v>1000</v>
      </c>
      <c r="H184" t="str">
        <f>IF(C184=C183,"",COUNTIF(G184,1000)+COUNTIF(G184,2000))</f>
        <v/>
      </c>
      <c r="I184" t="str">
        <f>IF(H184=0,"",IF(C184=C183,"",SUM($H$3:H184)))</f>
        <v/>
      </c>
    </row>
    <row r="185" spans="2:9">
      <c r="B185" s="164">
        <v>45777</v>
      </c>
      <c r="C185" t="s">
        <v>133</v>
      </c>
      <c r="D185">
        <v>1</v>
      </c>
      <c r="E185">
        <v>870000</v>
      </c>
      <c r="F185">
        <v>32033467</v>
      </c>
      <c r="G185">
        <v>1000</v>
      </c>
      <c r="H185" t="str">
        <f>IF(C185=C184,"",COUNTIF(G185,1000)+COUNTIF(G185,2000))</f>
        <v/>
      </c>
      <c r="I185" t="str">
        <f>IF(H185=0,"",IF(C185=C184,"",SUM($H$3:H185)))</f>
        <v/>
      </c>
    </row>
    <row r="186" spans="2:9">
      <c r="B186" s="164">
        <v>45777</v>
      </c>
      <c r="C186" t="s">
        <v>133</v>
      </c>
      <c r="D186">
        <v>1</v>
      </c>
      <c r="E186">
        <v>870000</v>
      </c>
      <c r="F186">
        <v>32033467</v>
      </c>
      <c r="G186">
        <v>1000</v>
      </c>
      <c r="H186" t="str">
        <f>IF(C186=C185,"",COUNTIF(G186,1000)+COUNTIF(G186,2000))</f>
        <v/>
      </c>
      <c r="I186" t="str">
        <f>IF(H186=0,"",IF(C186=C185,"",SUM($H$3:H186)))</f>
        <v/>
      </c>
    </row>
    <row r="187" spans="2:9">
      <c r="B187" s="164">
        <v>45777</v>
      </c>
      <c r="C187" t="s">
        <v>133</v>
      </c>
      <c r="D187">
        <v>1</v>
      </c>
      <c r="E187">
        <v>870000</v>
      </c>
      <c r="F187">
        <v>32033467</v>
      </c>
      <c r="G187">
        <v>1000</v>
      </c>
      <c r="H187" t="str">
        <f>IF(C187=C186,"",COUNTIF(G187,1000)+COUNTIF(G187,2000))</f>
        <v/>
      </c>
      <c r="I187" t="str">
        <f>IF(H187=0,"",IF(C187=C186,"",SUM($H$3:H187)))</f>
        <v/>
      </c>
    </row>
    <row r="188" spans="2:9">
      <c r="B188" s="164">
        <v>45777</v>
      </c>
      <c r="C188" t="s">
        <v>133</v>
      </c>
      <c r="D188">
        <v>1</v>
      </c>
      <c r="E188">
        <v>870000</v>
      </c>
      <c r="F188">
        <v>32033467</v>
      </c>
      <c r="G188">
        <v>1000</v>
      </c>
      <c r="H188" t="str">
        <f>IF(C188=C187,"",COUNTIF(G188,1000)+COUNTIF(G188,2000))</f>
        <v/>
      </c>
      <c r="I188" t="str">
        <f>IF(H188=0,"",IF(C188=C187,"",SUM($H$3:H188)))</f>
        <v/>
      </c>
    </row>
    <row r="189" spans="2:9">
      <c r="B189" s="164">
        <v>45777</v>
      </c>
      <c r="C189" t="s">
        <v>133</v>
      </c>
      <c r="D189">
        <v>1</v>
      </c>
      <c r="E189">
        <v>870000</v>
      </c>
      <c r="F189">
        <v>32033467</v>
      </c>
      <c r="G189">
        <v>1000</v>
      </c>
      <c r="H189" t="str">
        <f>IF(C189=C188,"",COUNTIF(G189,1000)+COUNTIF(G189,2000))</f>
        <v/>
      </c>
      <c r="I189" t="str">
        <f>IF(H189=0,"",IF(C189=C188,"",SUM($H$3:H189)))</f>
        <v/>
      </c>
    </row>
    <row r="190" spans="2:9">
      <c r="B190" s="164">
        <v>45798</v>
      </c>
      <c r="C190" t="s">
        <v>135</v>
      </c>
      <c r="D190">
        <v>2</v>
      </c>
      <c r="E190">
        <v>810000</v>
      </c>
      <c r="F190">
        <v>30681247</v>
      </c>
      <c r="G190">
        <v>1000</v>
      </c>
      <c r="H190">
        <f>IF(C190=C189,"",COUNTIF(G190,1000)+COUNTIF(G190,2000))</f>
        <v>1</v>
      </c>
      <c r="I190">
        <f>IF(H190=0,"",IF(C190=C189,"",SUM($H$3:H190)))</f>
        <v>4</v>
      </c>
    </row>
    <row r="191" spans="2:9">
      <c r="B191" s="164">
        <v>45798</v>
      </c>
      <c r="C191" t="s">
        <v>135</v>
      </c>
      <c r="D191">
        <v>2</v>
      </c>
      <c r="E191">
        <v>810000</v>
      </c>
      <c r="F191">
        <v>30681247</v>
      </c>
      <c r="G191">
        <v>1000</v>
      </c>
      <c r="H191" t="str">
        <f>IF(C191=C190,"",COUNTIF(G191,1000)+COUNTIF(G191,2000))</f>
        <v/>
      </c>
      <c r="I191" t="str">
        <f>IF(H191=0,"",IF(C191=C190,"",SUM($H$3:H191)))</f>
        <v/>
      </c>
    </row>
    <row r="192" spans="2:9">
      <c r="B192" s="164">
        <v>45798</v>
      </c>
      <c r="C192" t="s">
        <v>135</v>
      </c>
      <c r="D192">
        <v>2</v>
      </c>
      <c r="E192">
        <v>810000</v>
      </c>
      <c r="F192">
        <v>30681247</v>
      </c>
      <c r="G192">
        <v>1000</v>
      </c>
      <c r="H192" t="str">
        <f>IF(C192=C191,"",COUNTIF(G192,1000)+COUNTIF(G192,2000))</f>
        <v/>
      </c>
      <c r="I192" t="str">
        <f>IF(H192=0,"",IF(C192=C191,"",SUM($H$3:H192)))</f>
        <v/>
      </c>
    </row>
    <row r="193" spans="2:9">
      <c r="B193" s="164">
        <v>45798</v>
      </c>
      <c r="C193" t="s">
        <v>135</v>
      </c>
      <c r="D193">
        <v>2</v>
      </c>
      <c r="E193">
        <v>810000</v>
      </c>
      <c r="F193">
        <v>30681247</v>
      </c>
      <c r="G193">
        <v>1000</v>
      </c>
      <c r="H193" t="str">
        <f>IF(C193=C192,"",COUNTIF(G193,1000)+COUNTIF(G193,2000))</f>
        <v/>
      </c>
      <c r="I193" t="str">
        <f>IF(H193=0,"",IF(C193=C192,"",SUM($H$3:H193)))</f>
        <v/>
      </c>
    </row>
    <row r="194" spans="2:9">
      <c r="B194" s="164">
        <v>45798</v>
      </c>
      <c r="C194" t="s">
        <v>135</v>
      </c>
      <c r="D194">
        <v>2</v>
      </c>
      <c r="E194">
        <v>810000</v>
      </c>
      <c r="F194">
        <v>30681247</v>
      </c>
      <c r="G194">
        <v>1000</v>
      </c>
      <c r="H194" t="str">
        <f>IF(C194=C193,"",COUNTIF(G194,1000)+COUNTIF(G194,2000))</f>
        <v/>
      </c>
      <c r="I194" t="str">
        <f>IF(H194=0,"",IF(C194=C193,"",SUM($H$3:H194)))</f>
        <v/>
      </c>
    </row>
    <row r="195" spans="2:9">
      <c r="B195" s="164">
        <v>45798</v>
      </c>
      <c r="C195" t="s">
        <v>135</v>
      </c>
      <c r="D195">
        <v>2</v>
      </c>
      <c r="E195">
        <v>810000</v>
      </c>
      <c r="F195">
        <v>30681247</v>
      </c>
      <c r="G195">
        <v>1000</v>
      </c>
      <c r="H195" t="str">
        <f>IF(C195=C194,"",COUNTIF(G195,1000)+COUNTIF(G195,2000))</f>
        <v/>
      </c>
      <c r="I195" t="str">
        <f>IF(H195=0,"",IF(C195=C194,"",SUM($H$3:H195)))</f>
        <v/>
      </c>
    </row>
    <row r="196" spans="2:9">
      <c r="B196" s="164">
        <v>45798</v>
      </c>
      <c r="C196" t="s">
        <v>135</v>
      </c>
      <c r="D196">
        <v>2</v>
      </c>
      <c r="E196">
        <v>810000</v>
      </c>
      <c r="F196">
        <v>30681247</v>
      </c>
      <c r="G196">
        <v>1000</v>
      </c>
      <c r="H196" t="str">
        <f>IF(C196=C195,"",COUNTIF(G196,1000)+COUNTIF(G196,2000))</f>
        <v/>
      </c>
      <c r="I196" t="str">
        <f>IF(H196=0,"",IF(C196=C195,"",SUM($H$3:H196)))</f>
        <v/>
      </c>
    </row>
    <row r="197" spans="2:9">
      <c r="B197" s="164">
        <v>45798</v>
      </c>
      <c r="C197" t="s">
        <v>135</v>
      </c>
      <c r="D197">
        <v>2</v>
      </c>
      <c r="E197">
        <v>810000</v>
      </c>
      <c r="F197">
        <v>30681247</v>
      </c>
      <c r="G197">
        <v>1000</v>
      </c>
      <c r="H197" t="str">
        <f>IF(C197=C196,"",COUNTIF(G197,1000)+COUNTIF(G197,2000))</f>
        <v/>
      </c>
      <c r="I197" t="str">
        <f>IF(H197=0,"",IF(C197=C196,"",SUM($H$3:H197)))</f>
        <v/>
      </c>
    </row>
    <row r="198" spans="2:9">
      <c r="B198" s="164">
        <v>45798</v>
      </c>
      <c r="C198" t="s">
        <v>135</v>
      </c>
      <c r="D198">
        <v>2</v>
      </c>
      <c r="E198">
        <v>810000</v>
      </c>
      <c r="F198">
        <v>30681247</v>
      </c>
      <c r="G198">
        <v>1000</v>
      </c>
      <c r="H198" t="str">
        <f>IF(C198=C197,"",COUNTIF(G198,1000)+COUNTIF(G198,2000))</f>
        <v/>
      </c>
      <c r="I198" t="str">
        <f>IF(H198=0,"",IF(C198=C197,"",SUM($H$3:H198)))</f>
        <v/>
      </c>
    </row>
    <row r="199" spans="2:9">
      <c r="B199" s="164">
        <v>45798</v>
      </c>
      <c r="C199" t="s">
        <v>135</v>
      </c>
      <c r="D199">
        <v>2</v>
      </c>
      <c r="E199">
        <v>810000</v>
      </c>
      <c r="F199">
        <v>30681247</v>
      </c>
      <c r="G199">
        <v>1000</v>
      </c>
      <c r="H199" t="str">
        <f>IF(C199=C198,"",COUNTIF(G199,1000)+COUNTIF(G199,2000))</f>
        <v/>
      </c>
      <c r="I199" t="str">
        <f>IF(H199=0,"",IF(C199=C198,"",SUM($H$3:H199)))</f>
        <v/>
      </c>
    </row>
    <row r="200" spans="2:9">
      <c r="B200" s="164">
        <v>45798</v>
      </c>
      <c r="C200" t="s">
        <v>135</v>
      </c>
      <c r="D200">
        <v>2</v>
      </c>
      <c r="E200">
        <v>810000</v>
      </c>
      <c r="F200">
        <v>30681247</v>
      </c>
      <c r="G200">
        <v>1000</v>
      </c>
      <c r="H200" t="str">
        <f>IF(C200=C199,"",COUNTIF(G200,1000)+COUNTIF(G200,2000))</f>
        <v/>
      </c>
      <c r="I200" t="str">
        <f>IF(H200=0,"",IF(C200=C199,"",SUM($H$3:H200)))</f>
        <v/>
      </c>
    </row>
    <row r="201" spans="2:9">
      <c r="B201" s="164">
        <v>45798</v>
      </c>
      <c r="C201" t="s">
        <v>135</v>
      </c>
      <c r="D201">
        <v>2</v>
      </c>
      <c r="E201">
        <v>810000</v>
      </c>
      <c r="F201">
        <v>30681247</v>
      </c>
      <c r="G201">
        <v>1000</v>
      </c>
      <c r="H201" t="str">
        <f>IF(C201=C200,"",COUNTIF(G201,1000)+COUNTIF(G201,2000))</f>
        <v/>
      </c>
      <c r="I201" t="str">
        <f>IF(H201=0,"",IF(C201=C200,"",SUM($H$3:H201)))</f>
        <v/>
      </c>
    </row>
    <row r="202" spans="2:9">
      <c r="B202" s="164">
        <v>45798</v>
      </c>
      <c r="C202" t="s">
        <v>135</v>
      </c>
      <c r="D202">
        <v>2</v>
      </c>
      <c r="E202">
        <v>810000</v>
      </c>
      <c r="F202">
        <v>30681247</v>
      </c>
      <c r="G202">
        <v>1000</v>
      </c>
      <c r="H202" t="str">
        <f>IF(C202=C201,"",COUNTIF(G202,1000)+COUNTIF(G202,2000))</f>
        <v/>
      </c>
      <c r="I202" t="str">
        <f>IF(H202=0,"",IF(C202=C201,"",SUM($H$3:H202)))</f>
        <v/>
      </c>
    </row>
    <row r="203" spans="2:9">
      <c r="B203" s="164">
        <v>45798</v>
      </c>
      <c r="C203" t="s">
        <v>135</v>
      </c>
      <c r="D203">
        <v>2</v>
      </c>
      <c r="E203">
        <v>810000</v>
      </c>
      <c r="F203">
        <v>30681247</v>
      </c>
      <c r="G203">
        <v>1000</v>
      </c>
      <c r="H203" t="str">
        <f>IF(C203=C202,"",COUNTIF(G203,1000)+COUNTIF(G203,2000))</f>
        <v/>
      </c>
      <c r="I203" t="str">
        <f>IF(H203=0,"",IF(C203=C202,"",SUM($H$3:H203)))</f>
        <v/>
      </c>
    </row>
    <row r="204" spans="2:9">
      <c r="B204" s="164">
        <v>45798</v>
      </c>
      <c r="C204" t="s">
        <v>135</v>
      </c>
      <c r="D204">
        <v>2</v>
      </c>
      <c r="E204">
        <v>810000</v>
      </c>
      <c r="F204">
        <v>30681247</v>
      </c>
      <c r="G204">
        <v>1000</v>
      </c>
      <c r="H204" t="str">
        <f>IF(C204=C203,"",COUNTIF(G204,1000)+COUNTIF(G204,2000))</f>
        <v/>
      </c>
      <c r="I204" t="str">
        <f>IF(H204=0,"",IF(C204=C203,"",SUM($H$3:H204)))</f>
        <v/>
      </c>
    </row>
    <row r="205" spans="2:9">
      <c r="B205" s="164">
        <v>45798</v>
      </c>
      <c r="C205" t="s">
        <v>135</v>
      </c>
      <c r="D205">
        <v>2</v>
      </c>
      <c r="E205">
        <v>810000</v>
      </c>
      <c r="F205">
        <v>30681247</v>
      </c>
      <c r="G205">
        <v>1000</v>
      </c>
      <c r="H205" t="str">
        <f>IF(C205=C204,"",COUNTIF(G205,1000)+COUNTIF(G205,2000))</f>
        <v/>
      </c>
      <c r="I205" t="str">
        <f>IF(H205=0,"",IF(C205=C204,"",SUM($H$3:H205)))</f>
        <v/>
      </c>
    </row>
    <row r="206" spans="2:9">
      <c r="B206" s="164">
        <v>45798</v>
      </c>
      <c r="C206" t="s">
        <v>135</v>
      </c>
      <c r="D206">
        <v>2</v>
      </c>
      <c r="E206">
        <v>810000</v>
      </c>
      <c r="F206">
        <v>30681247</v>
      </c>
      <c r="G206">
        <v>1000</v>
      </c>
      <c r="H206" t="str">
        <f>IF(C206=C205,"",COUNTIF(G206,1000)+COUNTIF(G206,2000))</f>
        <v/>
      </c>
      <c r="I206" t="str">
        <f>IF(H206=0,"",IF(C206=C205,"",SUM($H$3:H206)))</f>
        <v/>
      </c>
    </row>
    <row r="207" spans="2:9">
      <c r="B207" s="164">
        <v>45798</v>
      </c>
      <c r="C207" t="s">
        <v>135</v>
      </c>
      <c r="D207">
        <v>2</v>
      </c>
      <c r="E207">
        <v>810000</v>
      </c>
      <c r="F207">
        <v>30681247</v>
      </c>
      <c r="G207">
        <v>1000</v>
      </c>
      <c r="H207" t="str">
        <f>IF(C207=C206,"",COUNTIF(G207,1000)+COUNTIF(G207,2000))</f>
        <v/>
      </c>
      <c r="I207" t="str">
        <f>IF(H207=0,"",IF(C207=C206,"",SUM($H$3:H207)))</f>
        <v/>
      </c>
    </row>
    <row r="208" spans="2:9">
      <c r="B208" s="164">
        <v>45798</v>
      </c>
      <c r="C208" t="s">
        <v>135</v>
      </c>
      <c r="D208">
        <v>2</v>
      </c>
      <c r="E208">
        <v>810000</v>
      </c>
      <c r="F208">
        <v>30681247</v>
      </c>
      <c r="G208">
        <v>1000</v>
      </c>
      <c r="H208" t="str">
        <f>IF(C208=C207,"",COUNTIF(G208,1000)+COUNTIF(G208,2000))</f>
        <v/>
      </c>
      <c r="I208" t="str">
        <f>IF(H208=0,"",IF(C208=C207,"",SUM($H$3:H208)))</f>
        <v/>
      </c>
    </row>
    <row r="209" spans="2:9">
      <c r="B209" s="164">
        <v>45798</v>
      </c>
      <c r="C209" t="s">
        <v>135</v>
      </c>
      <c r="D209">
        <v>2</v>
      </c>
      <c r="E209">
        <v>810000</v>
      </c>
      <c r="F209">
        <v>30681247</v>
      </c>
      <c r="G209">
        <v>1000</v>
      </c>
      <c r="H209" t="str">
        <f>IF(C209=C208,"",COUNTIF(G209,1000)+COUNTIF(G209,2000))</f>
        <v/>
      </c>
      <c r="I209" t="str">
        <f>IF(H209=0,"",IF(C209=C208,"",SUM($H$3:H209)))</f>
        <v/>
      </c>
    </row>
    <row r="210" spans="2:9">
      <c r="B210" s="164">
        <v>45798</v>
      </c>
      <c r="C210" t="s">
        <v>135</v>
      </c>
      <c r="D210">
        <v>2</v>
      </c>
      <c r="E210">
        <v>810000</v>
      </c>
      <c r="F210">
        <v>30681247</v>
      </c>
      <c r="G210">
        <v>1000</v>
      </c>
      <c r="H210" t="str">
        <f>IF(C210=C209,"",COUNTIF(G210,1000)+COUNTIF(G210,2000))</f>
        <v/>
      </c>
      <c r="I210" t="str">
        <f>IF(H210=0,"",IF(C210=C209,"",SUM($H$3:H210)))</f>
        <v/>
      </c>
    </row>
    <row r="211" spans="2:9">
      <c r="B211" s="164">
        <v>45798</v>
      </c>
      <c r="C211" t="s">
        <v>135</v>
      </c>
      <c r="D211">
        <v>2</v>
      </c>
      <c r="E211">
        <v>810000</v>
      </c>
      <c r="F211">
        <v>30681247</v>
      </c>
      <c r="G211">
        <v>1000</v>
      </c>
      <c r="H211" t="str">
        <f>IF(C211=C210,"",COUNTIF(G211,1000)+COUNTIF(G211,2000))</f>
        <v/>
      </c>
      <c r="I211" t="str">
        <f>IF(H211=0,"",IF(C211=C210,"",SUM($H$3:H211)))</f>
        <v/>
      </c>
    </row>
    <row r="212" spans="2:9">
      <c r="B212" s="164">
        <v>45798</v>
      </c>
      <c r="C212" t="s">
        <v>135</v>
      </c>
      <c r="D212">
        <v>2</v>
      </c>
      <c r="E212">
        <v>810000</v>
      </c>
      <c r="F212">
        <v>30681247</v>
      </c>
      <c r="G212">
        <v>1000</v>
      </c>
      <c r="H212" t="str">
        <f>IF(C212=C211,"",COUNTIF(G212,1000)+COUNTIF(G212,2000))</f>
        <v/>
      </c>
      <c r="I212" t="str">
        <f>IF(H212=0,"",IF(C212=C211,"",SUM($H$3:H212)))</f>
        <v/>
      </c>
    </row>
    <row r="213" spans="2:9">
      <c r="B213" s="164">
        <v>45798</v>
      </c>
      <c r="C213" t="s">
        <v>135</v>
      </c>
      <c r="D213">
        <v>2</v>
      </c>
      <c r="E213">
        <v>810000</v>
      </c>
      <c r="F213">
        <v>30681247</v>
      </c>
      <c r="G213">
        <v>1000</v>
      </c>
      <c r="H213" t="str">
        <f>IF(C213=C212,"",COUNTIF(G213,1000)+COUNTIF(G213,2000))</f>
        <v/>
      </c>
      <c r="I213" t="str">
        <f>IF(H213=0,"",IF(C213=C212,"",SUM($H$3:H213)))</f>
        <v/>
      </c>
    </row>
    <row r="214" spans="2:9">
      <c r="B214" s="164">
        <v>45798</v>
      </c>
      <c r="C214" t="s">
        <v>135</v>
      </c>
      <c r="D214">
        <v>2</v>
      </c>
      <c r="E214">
        <v>810000</v>
      </c>
      <c r="F214">
        <v>30681247</v>
      </c>
      <c r="G214">
        <v>1000</v>
      </c>
      <c r="H214" t="str">
        <f>IF(C214=C213,"",COUNTIF(G214,1000)+COUNTIF(G214,2000))</f>
        <v/>
      </c>
      <c r="I214" t="str">
        <f>IF(H214=0,"",IF(C214=C213,"",SUM($H$3:H214)))</f>
        <v/>
      </c>
    </row>
    <row r="215" spans="2:9">
      <c r="B215" s="164">
        <v>45798</v>
      </c>
      <c r="C215" t="s">
        <v>135</v>
      </c>
      <c r="D215">
        <v>2</v>
      </c>
      <c r="E215">
        <v>810000</v>
      </c>
      <c r="F215">
        <v>30681247</v>
      </c>
      <c r="G215">
        <v>1000</v>
      </c>
      <c r="H215" t="str">
        <f>IF(C215=C214,"",COUNTIF(G215,1000)+COUNTIF(G215,2000))</f>
        <v/>
      </c>
      <c r="I215" t="str">
        <f>IF(H215=0,"",IF(C215=C214,"",SUM($H$3:H215)))</f>
        <v/>
      </c>
    </row>
    <row r="216" spans="2:9">
      <c r="B216" s="164">
        <v>45798</v>
      </c>
      <c r="C216" t="s">
        <v>135</v>
      </c>
      <c r="D216">
        <v>2</v>
      </c>
      <c r="E216">
        <v>810000</v>
      </c>
      <c r="F216">
        <v>30681247</v>
      </c>
      <c r="G216">
        <v>1000</v>
      </c>
      <c r="H216" t="str">
        <f>IF(C216=C215,"",COUNTIF(G216,1000)+COUNTIF(G216,2000))</f>
        <v/>
      </c>
      <c r="I216" t="str">
        <f>IF(H216=0,"",IF(C216=C215,"",SUM($H$3:H216)))</f>
        <v/>
      </c>
    </row>
    <row r="217" spans="2:9">
      <c r="B217" s="164">
        <v>45798</v>
      </c>
      <c r="C217" t="s">
        <v>135</v>
      </c>
      <c r="D217">
        <v>2</v>
      </c>
      <c r="E217">
        <v>810000</v>
      </c>
      <c r="F217">
        <v>30681247</v>
      </c>
      <c r="G217">
        <v>1000</v>
      </c>
      <c r="H217" t="str">
        <f>IF(C217=C216,"",COUNTIF(G217,1000)+COUNTIF(G217,2000))</f>
        <v/>
      </c>
      <c r="I217" t="str">
        <f>IF(H217=0,"",IF(C217=C216,"",SUM($H$3:H217)))</f>
        <v/>
      </c>
    </row>
    <row r="218" spans="2:9">
      <c r="B218" s="164">
        <v>45798</v>
      </c>
      <c r="C218" t="s">
        <v>135</v>
      </c>
      <c r="D218">
        <v>2</v>
      </c>
      <c r="E218">
        <v>810000</v>
      </c>
      <c r="F218">
        <v>30681247</v>
      </c>
      <c r="G218">
        <v>1000</v>
      </c>
      <c r="H218" t="str">
        <f>IF(C218=C217,"",COUNTIF(G218,1000)+COUNTIF(G218,2000))</f>
        <v/>
      </c>
      <c r="I218" t="str">
        <f>IF(H218=0,"",IF(C218=C217,"",SUM($H$3:H218)))</f>
        <v/>
      </c>
    </row>
    <row r="219" spans="2:9">
      <c r="B219" s="164">
        <v>45798</v>
      </c>
      <c r="C219" t="s">
        <v>135</v>
      </c>
      <c r="D219">
        <v>2</v>
      </c>
      <c r="E219">
        <v>810000</v>
      </c>
      <c r="F219">
        <v>30681247</v>
      </c>
      <c r="G219">
        <v>1000</v>
      </c>
      <c r="H219" t="str">
        <f>IF(C219=C218,"",COUNTIF(G219,1000)+COUNTIF(G219,2000))</f>
        <v/>
      </c>
      <c r="I219" t="str">
        <f>IF(H219=0,"",IF(C219=C218,"",SUM($H$3:H219)))</f>
        <v/>
      </c>
    </row>
    <row r="220" spans="2:9">
      <c r="B220" s="164">
        <v>45798</v>
      </c>
      <c r="C220" t="s">
        <v>135</v>
      </c>
      <c r="D220">
        <v>2</v>
      </c>
      <c r="E220">
        <v>810000</v>
      </c>
      <c r="F220">
        <v>30681247</v>
      </c>
      <c r="G220">
        <v>1000</v>
      </c>
      <c r="H220" t="str">
        <f>IF(C220=C219,"",COUNTIF(G220,1000)+COUNTIF(G220,2000))</f>
        <v/>
      </c>
      <c r="I220" t="str">
        <f>IF(H220=0,"",IF(C220=C219,"",SUM($H$3:H220)))</f>
        <v/>
      </c>
    </row>
    <row r="221" spans="2:9">
      <c r="B221" s="164">
        <v>45798</v>
      </c>
      <c r="C221" t="s">
        <v>135</v>
      </c>
      <c r="D221">
        <v>2</v>
      </c>
      <c r="E221">
        <v>810000</v>
      </c>
      <c r="F221">
        <v>30681247</v>
      </c>
      <c r="G221">
        <v>1000</v>
      </c>
      <c r="H221" t="str">
        <f>IF(C221=C220,"",COUNTIF(G221,1000)+COUNTIF(G221,2000))</f>
        <v/>
      </c>
      <c r="I221" t="str">
        <f>IF(H221=0,"",IF(C221=C220,"",SUM($H$3:H221)))</f>
        <v/>
      </c>
    </row>
    <row r="222" spans="2:9">
      <c r="B222" s="164">
        <v>45798</v>
      </c>
      <c r="C222" t="s">
        <v>135</v>
      </c>
      <c r="D222">
        <v>2</v>
      </c>
      <c r="E222">
        <v>810000</v>
      </c>
      <c r="F222">
        <v>30681247</v>
      </c>
      <c r="G222">
        <v>1000</v>
      </c>
      <c r="H222" t="str">
        <f>IF(C222=C221,"",COUNTIF(G222,1000)+COUNTIF(G222,2000))</f>
        <v/>
      </c>
      <c r="I222" t="str">
        <f>IF(H222=0,"",IF(C222=C221,"",SUM($H$3:H222)))</f>
        <v/>
      </c>
    </row>
    <row r="223" spans="2:9">
      <c r="B223" s="164">
        <v>45798</v>
      </c>
      <c r="C223" t="s">
        <v>135</v>
      </c>
      <c r="D223">
        <v>2</v>
      </c>
      <c r="E223">
        <v>810000</v>
      </c>
      <c r="F223">
        <v>30681247</v>
      </c>
      <c r="G223">
        <v>1000</v>
      </c>
      <c r="H223" t="str">
        <f>IF(C223=C222,"",COUNTIF(G223,1000)+COUNTIF(G223,2000))</f>
        <v/>
      </c>
      <c r="I223" t="str">
        <f>IF(H223=0,"",IF(C223=C222,"",SUM($H$3:H223)))</f>
        <v/>
      </c>
    </row>
    <row r="224" spans="2:9">
      <c r="B224" s="164">
        <v>45798</v>
      </c>
      <c r="C224" t="s">
        <v>135</v>
      </c>
      <c r="D224">
        <v>2</v>
      </c>
      <c r="E224">
        <v>810000</v>
      </c>
      <c r="F224">
        <v>30681247</v>
      </c>
      <c r="G224">
        <v>1000</v>
      </c>
      <c r="H224" t="str">
        <f>IF(C224=C223,"",COUNTIF(G224,1000)+COUNTIF(G224,2000))</f>
        <v/>
      </c>
      <c r="I224" t="str">
        <f>IF(H224=0,"",IF(C224=C223,"",SUM($H$3:H224)))</f>
        <v/>
      </c>
    </row>
    <row r="225" spans="2:9">
      <c r="B225" s="164">
        <v>45798</v>
      </c>
      <c r="C225" t="s">
        <v>135</v>
      </c>
      <c r="D225">
        <v>2</v>
      </c>
      <c r="E225">
        <v>810000</v>
      </c>
      <c r="F225">
        <v>30681247</v>
      </c>
      <c r="G225">
        <v>1000</v>
      </c>
      <c r="H225" t="str">
        <f>IF(C225=C224,"",COUNTIF(G225,1000)+COUNTIF(G225,2000))</f>
        <v/>
      </c>
      <c r="I225" t="str">
        <f>IF(H225=0,"",IF(C225=C224,"",SUM($H$3:H225)))</f>
        <v/>
      </c>
    </row>
    <row r="226" spans="2:9">
      <c r="B226" s="164">
        <v>45798</v>
      </c>
      <c r="C226" t="s">
        <v>135</v>
      </c>
      <c r="D226">
        <v>2</v>
      </c>
      <c r="E226">
        <v>810000</v>
      </c>
      <c r="F226">
        <v>30681247</v>
      </c>
      <c r="G226">
        <v>1000</v>
      </c>
      <c r="H226" t="str">
        <f>IF(C226=C225,"",COUNTIF(G226,1000)+COUNTIF(G226,2000))</f>
        <v/>
      </c>
      <c r="I226" t="str">
        <f>IF(H226=0,"",IF(C226=C225,"",SUM($H$3:H226)))</f>
        <v/>
      </c>
    </row>
    <row r="227" spans="2:9">
      <c r="B227" s="164">
        <v>45798</v>
      </c>
      <c r="C227" t="s">
        <v>135</v>
      </c>
      <c r="D227">
        <v>2</v>
      </c>
      <c r="E227">
        <v>810000</v>
      </c>
      <c r="F227">
        <v>30681247</v>
      </c>
      <c r="G227">
        <v>1000</v>
      </c>
      <c r="H227" t="str">
        <f>IF(C227=C226,"",COUNTIF(G227,1000)+COUNTIF(G227,2000))</f>
        <v/>
      </c>
      <c r="I227" t="str">
        <f>IF(H227=0,"",IF(C227=C226,"",SUM($H$3:H227)))</f>
        <v/>
      </c>
    </row>
    <row r="228" spans="2:9">
      <c r="B228" s="164">
        <v>45798</v>
      </c>
      <c r="C228" t="s">
        <v>135</v>
      </c>
      <c r="D228">
        <v>2</v>
      </c>
      <c r="E228">
        <v>810000</v>
      </c>
      <c r="F228">
        <v>30681247</v>
      </c>
      <c r="G228">
        <v>1000</v>
      </c>
      <c r="H228" t="str">
        <f>IF(C228=C227,"",COUNTIF(G228,1000)+COUNTIF(G228,2000))</f>
        <v/>
      </c>
      <c r="I228" t="str">
        <f>IF(H228=0,"",IF(C228=C227,"",SUM($H$3:H228)))</f>
        <v/>
      </c>
    </row>
    <row r="229" spans="2:9">
      <c r="B229" s="164">
        <v>45798</v>
      </c>
      <c r="C229" t="s">
        <v>135</v>
      </c>
      <c r="D229">
        <v>2</v>
      </c>
      <c r="E229">
        <v>810000</v>
      </c>
      <c r="F229">
        <v>30681247</v>
      </c>
      <c r="G229">
        <v>1000</v>
      </c>
      <c r="H229" t="str">
        <f>IF(C229=C228,"",COUNTIF(G229,1000)+COUNTIF(G229,2000))</f>
        <v/>
      </c>
      <c r="I229" t="str">
        <f>IF(H229=0,"",IF(C229=C228,"",SUM($H$3:H229)))</f>
        <v/>
      </c>
    </row>
    <row r="230" spans="2:9">
      <c r="B230" s="164">
        <v>45798</v>
      </c>
      <c r="C230" t="s">
        <v>135</v>
      </c>
      <c r="D230">
        <v>2</v>
      </c>
      <c r="E230">
        <v>810000</v>
      </c>
      <c r="F230">
        <v>30681247</v>
      </c>
      <c r="G230">
        <v>1000</v>
      </c>
      <c r="H230" t="str">
        <f>IF(C230=C229,"",COUNTIF(G230,1000)+COUNTIF(G230,2000))</f>
        <v/>
      </c>
      <c r="I230" t="str">
        <f>IF(H230=0,"",IF(C230=C229,"",SUM($H$3:H230)))</f>
        <v/>
      </c>
    </row>
    <row r="231" spans="2:9">
      <c r="B231" s="164">
        <v>45798</v>
      </c>
      <c r="C231" t="s">
        <v>135</v>
      </c>
      <c r="D231">
        <v>2</v>
      </c>
      <c r="E231">
        <v>810000</v>
      </c>
      <c r="F231">
        <v>30681247</v>
      </c>
      <c r="G231">
        <v>1000</v>
      </c>
      <c r="H231" t="str">
        <f>IF(C231=C230,"",COUNTIF(G231,1000)+COUNTIF(G231,2000))</f>
        <v/>
      </c>
      <c r="I231" t="str">
        <f>IF(H231=0,"",IF(C231=C230,"",SUM($H$3:H231)))</f>
        <v/>
      </c>
    </row>
    <row r="232" spans="2:9">
      <c r="B232" s="164">
        <v>45798</v>
      </c>
      <c r="C232" t="s">
        <v>135</v>
      </c>
      <c r="D232">
        <v>2</v>
      </c>
      <c r="E232">
        <v>810000</v>
      </c>
      <c r="F232">
        <v>30681247</v>
      </c>
      <c r="G232">
        <v>1000</v>
      </c>
      <c r="H232" t="str">
        <f>IF(C232=C231,"",COUNTIF(G232,1000)+COUNTIF(G232,2000))</f>
        <v/>
      </c>
      <c r="I232" t="str">
        <f>IF(H232=0,"",IF(C232=C231,"",SUM($H$3:H232)))</f>
        <v/>
      </c>
    </row>
    <row r="233" spans="2:9">
      <c r="B233" s="164">
        <v>45798</v>
      </c>
      <c r="C233" t="s">
        <v>135</v>
      </c>
      <c r="D233">
        <v>2</v>
      </c>
      <c r="E233">
        <v>810000</v>
      </c>
      <c r="F233">
        <v>30681247</v>
      </c>
      <c r="G233">
        <v>1000</v>
      </c>
      <c r="H233" t="str">
        <f>IF(C233=C232,"",COUNTIF(G233,1000)+COUNTIF(G233,2000))</f>
        <v/>
      </c>
      <c r="I233" t="str">
        <f>IF(H233=0,"",IF(C233=C232,"",SUM($H$3:H233)))</f>
        <v/>
      </c>
    </row>
    <row r="234" spans="2:9">
      <c r="B234" s="164">
        <v>45798</v>
      </c>
      <c r="C234" t="s">
        <v>135</v>
      </c>
      <c r="D234">
        <v>2</v>
      </c>
      <c r="E234">
        <v>810000</v>
      </c>
      <c r="F234">
        <v>30681247</v>
      </c>
      <c r="G234">
        <v>1000</v>
      </c>
      <c r="H234" t="str">
        <f>IF(C234=C233,"",COUNTIF(G234,1000)+COUNTIF(G234,2000))</f>
        <v/>
      </c>
      <c r="I234" t="str">
        <f>IF(H234=0,"",IF(C234=C233,"",SUM($H$3:H234)))</f>
        <v/>
      </c>
    </row>
    <row r="235" spans="2:9">
      <c r="B235" s="164">
        <v>45798</v>
      </c>
      <c r="C235" t="s">
        <v>135</v>
      </c>
      <c r="D235">
        <v>2</v>
      </c>
      <c r="E235">
        <v>810000</v>
      </c>
      <c r="F235">
        <v>30681247</v>
      </c>
      <c r="G235">
        <v>1000</v>
      </c>
      <c r="H235" t="str">
        <f>IF(C235=C234,"",COUNTIF(G235,1000)+COUNTIF(G235,2000))</f>
        <v/>
      </c>
      <c r="I235" t="str">
        <f>IF(H235=0,"",IF(C235=C234,"",SUM($H$3:H235)))</f>
        <v/>
      </c>
    </row>
    <row r="236" spans="2:9">
      <c r="B236" s="164">
        <v>45798</v>
      </c>
      <c r="C236" t="s">
        <v>135</v>
      </c>
      <c r="D236">
        <v>2</v>
      </c>
      <c r="E236">
        <v>810000</v>
      </c>
      <c r="F236">
        <v>30681247</v>
      </c>
      <c r="G236">
        <v>1000</v>
      </c>
      <c r="H236" t="str">
        <f>IF(C236=C235,"",COUNTIF(G236,1000)+COUNTIF(G236,2000))</f>
        <v/>
      </c>
      <c r="I236" t="str">
        <f>IF(H236=0,"",IF(C236=C235,"",SUM($H$3:H236)))</f>
        <v/>
      </c>
    </row>
    <row r="237" spans="2:9">
      <c r="B237" s="164">
        <v>45798</v>
      </c>
      <c r="C237" t="s">
        <v>135</v>
      </c>
      <c r="D237">
        <v>2</v>
      </c>
      <c r="E237">
        <v>810000</v>
      </c>
      <c r="F237">
        <v>30681247</v>
      </c>
      <c r="G237">
        <v>1000</v>
      </c>
      <c r="H237" t="str">
        <f>IF(C237=C236,"",COUNTIF(G237,1000)+COUNTIF(G237,2000))</f>
        <v/>
      </c>
      <c r="I237" t="str">
        <f>IF(H237=0,"",IF(C237=C236,"",SUM($H$3:H237)))</f>
        <v/>
      </c>
    </row>
    <row r="238" spans="2:9">
      <c r="B238" s="164">
        <v>45798</v>
      </c>
      <c r="C238" t="s">
        <v>135</v>
      </c>
      <c r="D238">
        <v>2</v>
      </c>
      <c r="E238">
        <v>810000</v>
      </c>
      <c r="F238">
        <v>30681247</v>
      </c>
      <c r="G238">
        <v>1000</v>
      </c>
      <c r="H238" t="str">
        <f>IF(C238=C237,"",COUNTIF(G238,1000)+COUNTIF(G238,2000))</f>
        <v/>
      </c>
      <c r="I238" t="str">
        <f>IF(H238=0,"",IF(C238=C237,"",SUM($H$3:H238)))</f>
        <v/>
      </c>
    </row>
    <row r="239" spans="2:9">
      <c r="B239" s="164">
        <v>45798</v>
      </c>
      <c r="C239" t="s">
        <v>135</v>
      </c>
      <c r="D239">
        <v>2</v>
      </c>
      <c r="E239">
        <v>810000</v>
      </c>
      <c r="F239">
        <v>30681247</v>
      </c>
      <c r="G239">
        <v>1000</v>
      </c>
      <c r="H239" t="str">
        <f>IF(C239=C238,"",COUNTIF(G239,1000)+COUNTIF(G239,2000))</f>
        <v/>
      </c>
      <c r="I239" t="str">
        <f>IF(H239=0,"",IF(C239=C238,"",SUM($H$3:H239)))</f>
        <v/>
      </c>
    </row>
    <row r="240" spans="2:9">
      <c r="B240" s="164">
        <v>45798</v>
      </c>
      <c r="C240" t="s">
        <v>135</v>
      </c>
      <c r="D240">
        <v>2</v>
      </c>
      <c r="E240">
        <v>810000</v>
      </c>
      <c r="F240">
        <v>30681247</v>
      </c>
      <c r="G240">
        <v>1000</v>
      </c>
      <c r="H240" t="str">
        <f>IF(C240=C239,"",COUNTIF(G240,1000)+COUNTIF(G240,2000))</f>
        <v/>
      </c>
      <c r="I240" t="str">
        <f>IF(H240=0,"",IF(C240=C239,"",SUM($H$3:H240)))</f>
        <v/>
      </c>
    </row>
    <row r="241" spans="2:9">
      <c r="B241" s="164">
        <v>45798</v>
      </c>
      <c r="C241" t="s">
        <v>135</v>
      </c>
      <c r="D241">
        <v>2</v>
      </c>
      <c r="E241">
        <v>810000</v>
      </c>
      <c r="F241">
        <v>30681247</v>
      </c>
      <c r="G241">
        <v>1000</v>
      </c>
      <c r="H241" t="str">
        <f>IF(C241=C240,"",COUNTIF(G241,1000)+COUNTIF(G241,2000))</f>
        <v/>
      </c>
      <c r="I241" t="str">
        <f>IF(H241=0,"",IF(C241=C240,"",SUM($H$3:H241)))</f>
        <v/>
      </c>
    </row>
    <row r="242" spans="2:9">
      <c r="B242" s="164">
        <v>45798</v>
      </c>
      <c r="C242" t="s">
        <v>135</v>
      </c>
      <c r="D242">
        <v>2</v>
      </c>
      <c r="E242">
        <v>810000</v>
      </c>
      <c r="F242">
        <v>30681247</v>
      </c>
      <c r="G242">
        <v>1000</v>
      </c>
      <c r="H242" t="str">
        <f>IF(C242=C241,"",COUNTIF(G242,1000)+COUNTIF(G242,2000))</f>
        <v/>
      </c>
      <c r="I242" t="str">
        <f>IF(H242=0,"",IF(C242=C241,"",SUM($H$3:H242)))</f>
        <v/>
      </c>
    </row>
    <row r="243" spans="2:9">
      <c r="B243" s="164">
        <v>45798</v>
      </c>
      <c r="C243" t="s">
        <v>135</v>
      </c>
      <c r="D243">
        <v>2</v>
      </c>
      <c r="E243">
        <v>810000</v>
      </c>
      <c r="F243">
        <v>30681247</v>
      </c>
      <c r="G243">
        <v>1000</v>
      </c>
      <c r="H243" t="str">
        <f>IF(C243=C242,"",COUNTIF(G243,1000)+COUNTIF(G243,2000))</f>
        <v/>
      </c>
      <c r="I243" t="str">
        <f>IF(H243=0,"",IF(C243=C242,"",SUM($H$3:H243)))</f>
        <v/>
      </c>
    </row>
    <row r="244" spans="2:9">
      <c r="B244" s="164">
        <v>45798</v>
      </c>
      <c r="C244" t="s">
        <v>135</v>
      </c>
      <c r="D244">
        <v>2</v>
      </c>
      <c r="E244">
        <v>810000</v>
      </c>
      <c r="F244">
        <v>30681247</v>
      </c>
      <c r="G244">
        <v>1000</v>
      </c>
      <c r="H244" t="str">
        <f>IF(C244=C243,"",COUNTIF(G244,1000)+COUNTIF(G244,2000))</f>
        <v/>
      </c>
      <c r="I244" t="str">
        <f>IF(H244=0,"",IF(C244=C243,"",SUM($H$3:H244)))</f>
        <v/>
      </c>
    </row>
    <row r="245" spans="2:9">
      <c r="B245" s="164">
        <v>45798</v>
      </c>
      <c r="C245" t="s">
        <v>135</v>
      </c>
      <c r="D245">
        <v>2</v>
      </c>
      <c r="E245">
        <v>810000</v>
      </c>
      <c r="F245">
        <v>30681247</v>
      </c>
      <c r="G245">
        <v>1000</v>
      </c>
      <c r="H245" t="str">
        <f>IF(C245=C244,"",COUNTIF(G245,1000)+COUNTIF(G245,2000))</f>
        <v/>
      </c>
      <c r="I245" t="str">
        <f>IF(H245=0,"",IF(C245=C244,"",SUM($H$3:H245)))</f>
        <v/>
      </c>
    </row>
    <row r="246" spans="2:9">
      <c r="B246" s="164">
        <v>45798</v>
      </c>
      <c r="C246" t="s">
        <v>135</v>
      </c>
      <c r="D246">
        <v>2</v>
      </c>
      <c r="E246">
        <v>810000</v>
      </c>
      <c r="F246">
        <v>30681247</v>
      </c>
      <c r="G246">
        <v>1000</v>
      </c>
      <c r="H246" t="str">
        <f>IF(C246=C245,"",COUNTIF(G246,1000)+COUNTIF(G246,2000))</f>
        <v/>
      </c>
      <c r="I246" t="str">
        <f>IF(H246=0,"",IF(C246=C245,"",SUM($H$3:H246)))</f>
        <v/>
      </c>
    </row>
    <row r="247" spans="2:9">
      <c r="B247" s="164">
        <v>45798</v>
      </c>
      <c r="C247" t="s">
        <v>135</v>
      </c>
      <c r="D247">
        <v>2</v>
      </c>
      <c r="E247">
        <v>810000</v>
      </c>
      <c r="F247">
        <v>30681247</v>
      </c>
      <c r="G247">
        <v>1000</v>
      </c>
      <c r="H247" t="str">
        <f>IF(C247=C246,"",COUNTIF(G247,1000)+COUNTIF(G247,2000))</f>
        <v/>
      </c>
      <c r="I247" t="str">
        <f>IF(H247=0,"",IF(C247=C246,"",SUM($H$3:H247)))</f>
        <v/>
      </c>
    </row>
    <row r="248" spans="2:9">
      <c r="B248" s="164">
        <v>45798</v>
      </c>
      <c r="C248" t="s">
        <v>135</v>
      </c>
      <c r="D248">
        <v>2</v>
      </c>
      <c r="E248">
        <v>810000</v>
      </c>
      <c r="F248">
        <v>30681247</v>
      </c>
      <c r="G248">
        <v>1000</v>
      </c>
      <c r="H248" t="str">
        <f>IF(C248=C247,"",COUNTIF(G248,1000)+COUNTIF(G248,2000))</f>
        <v/>
      </c>
      <c r="I248" t="str">
        <f>IF(H248=0,"",IF(C248=C247,"",SUM($H$3:H248)))</f>
        <v/>
      </c>
    </row>
    <row r="249" spans="2:9">
      <c r="B249" s="164">
        <v>45798</v>
      </c>
      <c r="C249" t="s">
        <v>135</v>
      </c>
      <c r="D249">
        <v>2</v>
      </c>
      <c r="E249">
        <v>810000</v>
      </c>
      <c r="F249">
        <v>30681247</v>
      </c>
      <c r="G249">
        <v>1000</v>
      </c>
      <c r="H249" t="str">
        <f>IF(C249=C248,"",COUNTIF(G249,1000)+COUNTIF(G249,2000))</f>
        <v/>
      </c>
      <c r="I249" t="str">
        <f>IF(H249=0,"",IF(C249=C248,"",SUM($H$3:H249)))</f>
        <v/>
      </c>
    </row>
    <row r="250" spans="2:9">
      <c r="B250" s="164">
        <v>45798</v>
      </c>
      <c r="C250" t="s">
        <v>135</v>
      </c>
      <c r="D250">
        <v>2</v>
      </c>
      <c r="E250">
        <v>810000</v>
      </c>
      <c r="F250">
        <v>30681247</v>
      </c>
      <c r="G250">
        <v>1000</v>
      </c>
      <c r="H250" t="str">
        <f>IF(C250=C249,"",COUNTIF(G250,1000)+COUNTIF(G250,2000))</f>
        <v/>
      </c>
      <c r="I250" t="str">
        <f>IF(H250=0,"",IF(C250=C249,"",SUM($H$3:H250)))</f>
        <v/>
      </c>
    </row>
    <row r="251" spans="2:9">
      <c r="B251" s="164">
        <v>45798</v>
      </c>
      <c r="C251" t="s">
        <v>135</v>
      </c>
      <c r="D251">
        <v>2</v>
      </c>
      <c r="E251">
        <v>810000</v>
      </c>
      <c r="F251">
        <v>30681247</v>
      </c>
      <c r="G251">
        <v>1000</v>
      </c>
      <c r="H251" t="str">
        <f>IF(C251=C250,"",COUNTIF(G251,1000)+COUNTIF(G251,2000))</f>
        <v/>
      </c>
      <c r="I251" t="str">
        <f>IF(H251=0,"",IF(C251=C250,"",SUM($H$3:H251)))</f>
        <v/>
      </c>
    </row>
    <row r="252" spans="2:9">
      <c r="B252" s="164">
        <v>45798</v>
      </c>
      <c r="C252" t="s">
        <v>135</v>
      </c>
      <c r="D252">
        <v>2</v>
      </c>
      <c r="E252">
        <v>810000</v>
      </c>
      <c r="F252">
        <v>30681247</v>
      </c>
      <c r="G252">
        <v>1000</v>
      </c>
      <c r="H252" t="str">
        <f>IF(C252=C251,"",COUNTIF(G252,1000)+COUNTIF(G252,2000))</f>
        <v/>
      </c>
      <c r="I252" t="str">
        <f>IF(H252=0,"",IF(C252=C251,"",SUM($H$3:H252)))</f>
        <v/>
      </c>
    </row>
    <row r="253" spans="2:9">
      <c r="B253" s="164">
        <v>45798</v>
      </c>
      <c r="C253" t="s">
        <v>135</v>
      </c>
      <c r="D253">
        <v>2</v>
      </c>
      <c r="E253">
        <v>810000</v>
      </c>
      <c r="F253">
        <v>30681247</v>
      </c>
      <c r="G253">
        <v>1000</v>
      </c>
      <c r="H253" t="str">
        <f>IF(C253=C252,"",COUNTIF(G253,1000)+COUNTIF(G253,2000))</f>
        <v/>
      </c>
      <c r="I253" t="str">
        <f>IF(H253=0,"",IF(C253=C252,"",SUM($H$3:H253)))</f>
        <v/>
      </c>
    </row>
    <row r="254" spans="2:9">
      <c r="B254" s="164">
        <v>45798</v>
      </c>
      <c r="C254" t="s">
        <v>135</v>
      </c>
      <c r="D254">
        <v>2</v>
      </c>
      <c r="E254">
        <v>810000</v>
      </c>
      <c r="F254">
        <v>30681247</v>
      </c>
      <c r="G254">
        <v>1000</v>
      </c>
      <c r="H254" t="str">
        <f>IF(C254=C253,"",COUNTIF(G254,1000)+COUNTIF(G254,2000))</f>
        <v/>
      </c>
      <c r="I254" t="str">
        <f>IF(H254=0,"",IF(C254=C253,"",SUM($H$3:H254)))</f>
        <v/>
      </c>
    </row>
    <row r="255" spans="2:9">
      <c r="B255" s="164">
        <v>45798</v>
      </c>
      <c r="C255" t="s">
        <v>135</v>
      </c>
      <c r="D255">
        <v>2</v>
      </c>
      <c r="E255">
        <v>810000</v>
      </c>
      <c r="F255">
        <v>30681247</v>
      </c>
      <c r="G255">
        <v>1000</v>
      </c>
      <c r="H255" t="str">
        <f>IF(C255=C254,"",COUNTIF(G255,1000)+COUNTIF(G255,2000))</f>
        <v/>
      </c>
      <c r="I255" t="str">
        <f>IF(H255=0,"",IF(C255=C254,"",SUM($H$3:H255)))</f>
        <v/>
      </c>
    </row>
    <row r="256" spans="2:9">
      <c r="B256" s="164">
        <v>45798</v>
      </c>
      <c r="C256" t="s">
        <v>135</v>
      </c>
      <c r="D256">
        <v>2</v>
      </c>
      <c r="E256">
        <v>810000</v>
      </c>
      <c r="F256">
        <v>30681247</v>
      </c>
      <c r="G256">
        <v>1000</v>
      </c>
      <c r="H256" t="str">
        <f>IF(C256=C255,"",COUNTIF(G256,1000)+COUNTIF(G256,2000))</f>
        <v/>
      </c>
      <c r="I256" t="str">
        <f>IF(H256=0,"",IF(C256=C255,"",SUM($H$3:H256)))</f>
        <v/>
      </c>
    </row>
    <row r="257" spans="2:9">
      <c r="B257" s="164">
        <v>45798</v>
      </c>
      <c r="C257" t="s">
        <v>135</v>
      </c>
      <c r="D257">
        <v>2</v>
      </c>
      <c r="E257">
        <v>810000</v>
      </c>
      <c r="F257">
        <v>30681247</v>
      </c>
      <c r="G257">
        <v>1000</v>
      </c>
      <c r="H257" t="str">
        <f>IF(C257=C256,"",COUNTIF(G257,1000)+COUNTIF(G257,2000))</f>
        <v/>
      </c>
      <c r="I257" t="str">
        <f>IF(H257=0,"",IF(C257=C256,"",SUM($H$3:H257)))</f>
        <v/>
      </c>
    </row>
    <row r="258" spans="2:9">
      <c r="B258" s="164">
        <v>45798</v>
      </c>
      <c r="C258" t="s">
        <v>135</v>
      </c>
      <c r="D258">
        <v>2</v>
      </c>
      <c r="E258">
        <v>810000</v>
      </c>
      <c r="F258">
        <v>30681247</v>
      </c>
      <c r="G258">
        <v>1000</v>
      </c>
      <c r="H258" t="str">
        <f>IF(C258=C257,"",COUNTIF(G258,1000)+COUNTIF(G258,2000))</f>
        <v/>
      </c>
      <c r="I258" t="str">
        <f>IF(H258=0,"",IF(C258=C257,"",SUM($H$3:H258)))</f>
        <v/>
      </c>
    </row>
    <row r="259" spans="2:9">
      <c r="B259" s="164">
        <v>45798</v>
      </c>
      <c r="C259" t="s">
        <v>135</v>
      </c>
      <c r="D259">
        <v>2</v>
      </c>
      <c r="E259">
        <v>810000</v>
      </c>
      <c r="F259">
        <v>30681247</v>
      </c>
      <c r="G259">
        <v>1000</v>
      </c>
      <c r="H259" t="str">
        <f>IF(C259=C258,"",COUNTIF(G259,1000)+COUNTIF(G259,2000))</f>
        <v/>
      </c>
      <c r="I259" t="str">
        <f>IF(H259=0,"",IF(C259=C258,"",SUM($H$3:H259)))</f>
        <v/>
      </c>
    </row>
    <row r="260" spans="2:9">
      <c r="B260" s="164">
        <v>45798</v>
      </c>
      <c r="C260" t="s">
        <v>135</v>
      </c>
      <c r="D260">
        <v>2</v>
      </c>
      <c r="E260">
        <v>810000</v>
      </c>
      <c r="F260">
        <v>30681247</v>
      </c>
      <c r="G260">
        <v>1000</v>
      </c>
      <c r="H260" t="str">
        <f>IF(C260=C259,"",COUNTIF(G260,1000)+COUNTIF(G260,2000))</f>
        <v/>
      </c>
      <c r="I260" t="str">
        <f>IF(H260=0,"",IF(C260=C259,"",SUM($H$3:H260)))</f>
        <v/>
      </c>
    </row>
    <row r="261" spans="2:9">
      <c r="B261" s="164">
        <v>45798</v>
      </c>
      <c r="C261" t="s">
        <v>135</v>
      </c>
      <c r="D261">
        <v>2</v>
      </c>
      <c r="E261">
        <v>810000</v>
      </c>
      <c r="F261">
        <v>30681247</v>
      </c>
      <c r="G261">
        <v>1000</v>
      </c>
      <c r="H261" t="str">
        <f>IF(C261=C260,"",COUNTIF(G261,1000)+COUNTIF(G261,2000))</f>
        <v/>
      </c>
      <c r="I261" t="str">
        <f>IF(H261=0,"",IF(C261=C260,"",SUM($H$3:H261)))</f>
        <v/>
      </c>
    </row>
    <row r="262" spans="2:9">
      <c r="B262" s="164">
        <v>45798</v>
      </c>
      <c r="C262" t="s">
        <v>135</v>
      </c>
      <c r="D262">
        <v>2</v>
      </c>
      <c r="E262">
        <v>810000</v>
      </c>
      <c r="F262">
        <v>30681247</v>
      </c>
      <c r="G262">
        <v>1000</v>
      </c>
      <c r="H262" t="str">
        <f>IF(C262=C261,"",COUNTIF(G262,1000)+COUNTIF(G262,2000))</f>
        <v/>
      </c>
      <c r="I262" t="str">
        <f>IF(H262=0,"",IF(C262=C261,"",SUM($H$3:H262)))</f>
        <v/>
      </c>
    </row>
    <row r="263" spans="2:9">
      <c r="B263" s="164">
        <v>45798</v>
      </c>
      <c r="C263" t="s">
        <v>135</v>
      </c>
      <c r="D263">
        <v>2</v>
      </c>
      <c r="E263">
        <v>810000</v>
      </c>
      <c r="F263">
        <v>30681247</v>
      </c>
      <c r="G263">
        <v>1000</v>
      </c>
      <c r="H263" t="str">
        <f>IF(C263=C262,"",COUNTIF(G263,1000)+COUNTIF(G263,2000))</f>
        <v/>
      </c>
      <c r="I263" t="str">
        <f>IF(H263=0,"",IF(C263=C262,"",SUM($H$3:H263)))</f>
        <v/>
      </c>
    </row>
    <row r="264" spans="2:9">
      <c r="B264" s="164">
        <v>45798</v>
      </c>
      <c r="C264" t="s">
        <v>135</v>
      </c>
      <c r="D264">
        <v>2</v>
      </c>
      <c r="E264">
        <v>810000</v>
      </c>
      <c r="F264">
        <v>30681247</v>
      </c>
      <c r="G264">
        <v>1000</v>
      </c>
      <c r="H264" t="str">
        <f>IF(C264=C263,"",COUNTIF(G264,1000)+COUNTIF(G264,2000))</f>
        <v/>
      </c>
      <c r="I264" t="str">
        <f>IF(H264=0,"",IF(C264=C263,"",SUM($H$3:H264)))</f>
        <v/>
      </c>
    </row>
    <row r="265" spans="2:9">
      <c r="B265" s="164">
        <v>45798</v>
      </c>
      <c r="C265" t="s">
        <v>135</v>
      </c>
      <c r="D265">
        <v>2</v>
      </c>
      <c r="E265">
        <v>810000</v>
      </c>
      <c r="F265">
        <v>30681247</v>
      </c>
      <c r="G265">
        <v>1000</v>
      </c>
      <c r="H265" t="str">
        <f>IF(C265=C264,"",COUNTIF(G265,1000)+COUNTIF(G265,2000))</f>
        <v/>
      </c>
      <c r="I265" t="str">
        <f>IF(H265=0,"",IF(C265=C264,"",SUM($H$3:H265)))</f>
        <v/>
      </c>
    </row>
    <row r="266" spans="2:9">
      <c r="B266" s="164">
        <v>45798</v>
      </c>
      <c r="C266" t="s">
        <v>135</v>
      </c>
      <c r="D266">
        <v>2</v>
      </c>
      <c r="E266">
        <v>810000</v>
      </c>
      <c r="F266">
        <v>30681247</v>
      </c>
      <c r="G266">
        <v>1000</v>
      </c>
      <c r="H266" t="str">
        <f>IF(C266=C265,"",COUNTIF(G266,1000)+COUNTIF(G266,2000))</f>
        <v/>
      </c>
      <c r="I266" t="str">
        <f>IF(H266=0,"",IF(C266=C265,"",SUM($H$3:H266)))</f>
        <v/>
      </c>
    </row>
    <row r="267" spans="2:9">
      <c r="B267" s="164">
        <v>45798</v>
      </c>
      <c r="C267" t="s">
        <v>135</v>
      </c>
      <c r="D267">
        <v>2</v>
      </c>
      <c r="E267">
        <v>810000</v>
      </c>
      <c r="F267">
        <v>30681247</v>
      </c>
      <c r="G267">
        <v>1000</v>
      </c>
      <c r="H267" t="str">
        <f>IF(C267=C266,"",COUNTIF(G267,1000)+COUNTIF(G267,2000))</f>
        <v/>
      </c>
      <c r="I267" t="str">
        <f>IF(H267=0,"",IF(C267=C266,"",SUM($H$3:H267)))</f>
        <v/>
      </c>
    </row>
    <row r="268" spans="2:9">
      <c r="B268" s="164">
        <v>45799</v>
      </c>
      <c r="C268" t="s">
        <v>138</v>
      </c>
      <c r="D268">
        <v>3</v>
      </c>
      <c r="E268">
        <v>533680</v>
      </c>
      <c r="F268">
        <v>20362664</v>
      </c>
      <c r="G268">
        <v>2000</v>
      </c>
      <c r="H268">
        <f>IF(C268=C267,"",COUNTIF(G268,1000)+COUNTIF(G268,2000))</f>
        <v>1</v>
      </c>
      <c r="I268">
        <f>IF(H268=0,"",IF(C268=C267,"",SUM($H$3:H268)))</f>
        <v>5</v>
      </c>
    </row>
    <row r="269" spans="2:9">
      <c r="B269" s="164">
        <v>45799</v>
      </c>
      <c r="C269" t="s">
        <v>138</v>
      </c>
      <c r="D269">
        <v>3</v>
      </c>
      <c r="E269">
        <v>533680</v>
      </c>
      <c r="F269">
        <v>20362664</v>
      </c>
      <c r="G269">
        <v>2000</v>
      </c>
      <c r="H269" t="str">
        <f>IF(C269=C268,"",COUNTIF(G269,1000)+COUNTIF(G269,2000))</f>
        <v/>
      </c>
      <c r="I269" t="str">
        <f>IF(H269=0,"",IF(C269=C268,"",SUM($H$3:H269)))</f>
        <v/>
      </c>
    </row>
    <row r="270" spans="2:9">
      <c r="B270" s="164">
        <v>45799</v>
      </c>
      <c r="C270" t="s">
        <v>138</v>
      </c>
      <c r="D270">
        <v>3</v>
      </c>
      <c r="E270">
        <v>533680</v>
      </c>
      <c r="F270">
        <v>20362664</v>
      </c>
      <c r="G270">
        <v>2000</v>
      </c>
      <c r="H270" t="str">
        <f>IF(C270=C269,"",COUNTIF(G270,1000)+COUNTIF(G270,2000))</f>
        <v/>
      </c>
      <c r="I270" t="str">
        <f>IF(H270=0,"",IF(C270=C269,"",SUM($H$3:H270)))</f>
        <v/>
      </c>
    </row>
    <row r="271" spans="2:9">
      <c r="B271" s="164">
        <v>45799</v>
      </c>
      <c r="C271" t="s">
        <v>138</v>
      </c>
      <c r="D271">
        <v>3</v>
      </c>
      <c r="E271">
        <v>533680</v>
      </c>
      <c r="F271">
        <v>20362664</v>
      </c>
      <c r="G271">
        <v>2000</v>
      </c>
      <c r="H271" t="str">
        <f>IF(C271=C270,"",COUNTIF(G271,1000)+COUNTIF(G271,2000))</f>
        <v/>
      </c>
      <c r="I271" t="str">
        <f>IF(H271=0,"",IF(C271=C270,"",SUM($H$3:H271)))</f>
        <v/>
      </c>
    </row>
    <row r="272" spans="2:9">
      <c r="B272" s="164">
        <v>45799</v>
      </c>
      <c r="C272" t="s">
        <v>138</v>
      </c>
      <c r="D272">
        <v>3</v>
      </c>
      <c r="E272">
        <v>533680</v>
      </c>
      <c r="F272">
        <v>20362664</v>
      </c>
      <c r="G272">
        <v>2000</v>
      </c>
      <c r="H272" t="str">
        <f>IF(C272=C271,"",COUNTIF(G272,1000)+COUNTIF(G272,2000))</f>
        <v/>
      </c>
      <c r="I272" t="str">
        <f>IF(H272=0,"",IF(C272=C271,"",SUM($H$3:H272)))</f>
        <v/>
      </c>
    </row>
    <row r="273" spans="2:9">
      <c r="B273" s="164">
        <v>45799</v>
      </c>
      <c r="C273" t="s">
        <v>138</v>
      </c>
      <c r="D273">
        <v>3</v>
      </c>
      <c r="E273">
        <v>533680</v>
      </c>
      <c r="F273">
        <v>20362664</v>
      </c>
      <c r="G273">
        <v>2000</v>
      </c>
      <c r="H273" t="str">
        <f>IF(C273=C272,"",COUNTIF(G273,1000)+COUNTIF(G273,2000))</f>
        <v/>
      </c>
      <c r="I273" t="str">
        <f>IF(H273=0,"",IF(C273=C272,"",SUM($H$3:H273)))</f>
        <v/>
      </c>
    </row>
    <row r="274" spans="2:9">
      <c r="B274" s="164">
        <v>45799</v>
      </c>
      <c r="C274" t="s">
        <v>138</v>
      </c>
      <c r="D274">
        <v>3</v>
      </c>
      <c r="E274">
        <v>533680</v>
      </c>
      <c r="F274">
        <v>20362664</v>
      </c>
      <c r="G274">
        <v>2000</v>
      </c>
      <c r="H274" t="str">
        <f>IF(C274=C273,"",COUNTIF(G274,1000)+COUNTIF(G274,2000))</f>
        <v/>
      </c>
      <c r="I274" t="str">
        <f>IF(H274=0,"",IF(C274=C273,"",SUM($H$3:H274)))</f>
        <v/>
      </c>
    </row>
    <row r="275" spans="2:9">
      <c r="B275" s="164">
        <v>45799</v>
      </c>
      <c r="C275" t="s">
        <v>138</v>
      </c>
      <c r="D275">
        <v>3</v>
      </c>
      <c r="E275">
        <v>533680</v>
      </c>
      <c r="F275">
        <v>20362664</v>
      </c>
      <c r="G275">
        <v>2000</v>
      </c>
      <c r="H275" t="str">
        <f>IF(C275=C274,"",COUNTIF(G275,1000)+COUNTIF(G275,2000))</f>
        <v/>
      </c>
      <c r="I275" t="str">
        <f>IF(H275=0,"",IF(C275=C274,"",SUM($H$3:H275)))</f>
        <v/>
      </c>
    </row>
    <row r="276" spans="2:9">
      <c r="B276" s="164">
        <v>45799</v>
      </c>
      <c r="C276" t="s">
        <v>138</v>
      </c>
      <c r="D276">
        <v>3</v>
      </c>
      <c r="E276">
        <v>533680</v>
      </c>
      <c r="F276">
        <v>20362664</v>
      </c>
      <c r="G276">
        <v>2000</v>
      </c>
      <c r="H276" t="str">
        <f>IF(C276=C275,"",COUNTIF(G276,1000)+COUNTIF(G276,2000))</f>
        <v/>
      </c>
      <c r="I276" t="str">
        <f>IF(H276=0,"",IF(C276=C275,"",SUM($H$3:H276)))</f>
        <v/>
      </c>
    </row>
    <row r="277" spans="2:9">
      <c r="B277" s="164">
        <v>45799</v>
      </c>
      <c r="C277" t="s">
        <v>138</v>
      </c>
      <c r="D277">
        <v>3</v>
      </c>
      <c r="E277">
        <v>533680</v>
      </c>
      <c r="F277">
        <v>20362664</v>
      </c>
      <c r="G277">
        <v>2000</v>
      </c>
      <c r="H277" t="str">
        <f>IF(C277=C276,"",COUNTIF(G277,1000)+COUNTIF(G277,2000))</f>
        <v/>
      </c>
      <c r="I277" t="str">
        <f>IF(H277=0,"",IF(C277=C276,"",SUM($H$3:H277)))</f>
        <v/>
      </c>
    </row>
    <row r="278" spans="2:9">
      <c r="B278" s="164">
        <v>45799</v>
      </c>
      <c r="C278" t="s">
        <v>138</v>
      </c>
      <c r="D278">
        <v>3</v>
      </c>
      <c r="E278">
        <v>533680</v>
      </c>
      <c r="F278">
        <v>20362664</v>
      </c>
      <c r="G278">
        <v>2000</v>
      </c>
      <c r="H278" t="str">
        <f>IF(C278=C277,"",COUNTIF(G278,1000)+COUNTIF(G278,2000))</f>
        <v/>
      </c>
      <c r="I278" t="str">
        <f>IF(H278=0,"",IF(C278=C277,"",SUM($H$3:H278)))</f>
        <v/>
      </c>
    </row>
    <row r="279" spans="2:9">
      <c r="B279" s="164">
        <v>45799</v>
      </c>
      <c r="C279" t="s">
        <v>138</v>
      </c>
      <c r="D279">
        <v>3</v>
      </c>
      <c r="E279">
        <v>533680</v>
      </c>
      <c r="F279">
        <v>20362664</v>
      </c>
      <c r="G279">
        <v>2000</v>
      </c>
      <c r="H279" t="str">
        <f>IF(C279=C278,"",COUNTIF(G279,1000)+COUNTIF(G279,2000))</f>
        <v/>
      </c>
      <c r="I279" t="str">
        <f>IF(H279=0,"",IF(C279=C278,"",SUM($H$3:H279)))</f>
        <v/>
      </c>
    </row>
    <row r="280" spans="2:9">
      <c r="B280" s="164">
        <v>45799</v>
      </c>
      <c r="C280" t="s">
        <v>138</v>
      </c>
      <c r="D280">
        <v>3</v>
      </c>
      <c r="E280">
        <v>533680</v>
      </c>
      <c r="F280">
        <v>20362664</v>
      </c>
      <c r="G280">
        <v>2000</v>
      </c>
      <c r="H280" t="str">
        <f>IF(C280=C279,"",COUNTIF(G280,1000)+COUNTIF(G280,2000))</f>
        <v/>
      </c>
      <c r="I280" t="str">
        <f>IF(H280=0,"",IF(C280=C279,"",SUM($H$3:H280)))</f>
        <v/>
      </c>
    </row>
    <row r="281" spans="2:9">
      <c r="B281" s="164">
        <v>45799</v>
      </c>
      <c r="C281" t="s">
        <v>138</v>
      </c>
      <c r="D281">
        <v>3</v>
      </c>
      <c r="E281">
        <v>533680</v>
      </c>
      <c r="F281">
        <v>20362664</v>
      </c>
      <c r="G281">
        <v>2000</v>
      </c>
      <c r="H281" t="str">
        <f>IF(C281=C280,"",COUNTIF(G281,1000)+COUNTIF(G281,2000))</f>
        <v/>
      </c>
      <c r="I281" t="str">
        <f>IF(H281=0,"",IF(C281=C280,"",SUM($H$3:H281)))</f>
        <v/>
      </c>
    </row>
    <row r="282" spans="2:9">
      <c r="B282" s="164">
        <v>45799</v>
      </c>
      <c r="C282" t="s">
        <v>138</v>
      </c>
      <c r="D282">
        <v>3</v>
      </c>
      <c r="E282">
        <v>533680</v>
      </c>
      <c r="F282">
        <v>20362664</v>
      </c>
      <c r="G282">
        <v>2000</v>
      </c>
      <c r="H282" t="str">
        <f>IF(C282=C281,"",COUNTIF(G282,1000)+COUNTIF(G282,2000))</f>
        <v/>
      </c>
      <c r="I282" t="str">
        <f>IF(H282=0,"",IF(C282=C281,"",SUM($H$3:H282)))</f>
        <v/>
      </c>
    </row>
    <row r="283" spans="2:9">
      <c r="B283" s="164">
        <v>45799</v>
      </c>
      <c r="C283" t="s">
        <v>138</v>
      </c>
      <c r="D283">
        <v>3</v>
      </c>
      <c r="E283">
        <v>533680</v>
      </c>
      <c r="F283">
        <v>20362664</v>
      </c>
      <c r="G283">
        <v>2000</v>
      </c>
      <c r="H283" t="str">
        <f>IF(C283=C282,"",COUNTIF(G283,1000)+COUNTIF(G283,2000))</f>
        <v/>
      </c>
      <c r="I283" t="str">
        <f>IF(H283=0,"",IF(C283=C282,"",SUM($H$3:H283)))</f>
        <v/>
      </c>
    </row>
    <row r="284" spans="2:9">
      <c r="B284" s="164">
        <v>45799</v>
      </c>
      <c r="C284" t="s">
        <v>138</v>
      </c>
      <c r="D284">
        <v>3</v>
      </c>
      <c r="E284">
        <v>533680</v>
      </c>
      <c r="F284">
        <v>20362664</v>
      </c>
      <c r="G284">
        <v>2000</v>
      </c>
      <c r="H284" t="str">
        <f>IF(C284=C283,"",COUNTIF(G284,1000)+COUNTIF(G284,2000))</f>
        <v/>
      </c>
      <c r="I284" t="str">
        <f>IF(H284=0,"",IF(C284=C283,"",SUM($H$3:H284)))</f>
        <v/>
      </c>
    </row>
    <row r="285" spans="2:9">
      <c r="B285" s="164">
        <v>45799</v>
      </c>
      <c r="C285" t="s">
        <v>138</v>
      </c>
      <c r="D285">
        <v>3</v>
      </c>
      <c r="E285">
        <v>533680</v>
      </c>
      <c r="F285">
        <v>20362664</v>
      </c>
      <c r="G285">
        <v>2000</v>
      </c>
      <c r="H285" t="str">
        <f>IF(C285=C284,"",COUNTIF(G285,1000)+COUNTIF(G285,2000))</f>
        <v/>
      </c>
      <c r="I285" t="str">
        <f>IF(H285=0,"",IF(C285=C284,"",SUM($H$3:H285)))</f>
        <v/>
      </c>
    </row>
    <row r="286" spans="2:9">
      <c r="B286" s="164">
        <v>45799</v>
      </c>
      <c r="C286" t="s">
        <v>138</v>
      </c>
      <c r="D286">
        <v>3</v>
      </c>
      <c r="E286">
        <v>533680</v>
      </c>
      <c r="F286">
        <v>20362664</v>
      </c>
      <c r="G286">
        <v>2000</v>
      </c>
      <c r="H286" t="str">
        <f>IF(C286=C285,"",COUNTIF(G286,1000)+COUNTIF(G286,2000))</f>
        <v/>
      </c>
      <c r="I286" t="str">
        <f>IF(H286=0,"",IF(C286=C285,"",SUM($H$3:H286)))</f>
        <v/>
      </c>
    </row>
    <row r="287" spans="2:9">
      <c r="B287" s="164">
        <v>45799</v>
      </c>
      <c r="C287" t="s">
        <v>138</v>
      </c>
      <c r="D287">
        <v>3</v>
      </c>
      <c r="E287">
        <v>533680</v>
      </c>
      <c r="F287">
        <v>20362664</v>
      </c>
      <c r="G287">
        <v>2000</v>
      </c>
      <c r="H287" t="str">
        <f>IF(C287=C286,"",COUNTIF(G287,1000)+COUNTIF(G287,2000))</f>
        <v/>
      </c>
      <c r="I287" t="str">
        <f>IF(H287=0,"",IF(C287=C286,"",SUM($H$3:H287)))</f>
        <v/>
      </c>
    </row>
    <row r="288" spans="2:9">
      <c r="B288" s="164">
        <v>45799</v>
      </c>
      <c r="C288" t="s">
        <v>138</v>
      </c>
      <c r="D288">
        <v>3</v>
      </c>
      <c r="E288">
        <v>533680</v>
      </c>
      <c r="F288">
        <v>20362664</v>
      </c>
      <c r="G288">
        <v>2000</v>
      </c>
      <c r="H288" t="str">
        <f>IF(C288=C287,"",COUNTIF(G288,1000)+COUNTIF(G288,2000))</f>
        <v/>
      </c>
      <c r="I288" t="str">
        <f>IF(H288=0,"",IF(C288=C287,"",SUM($H$3:H288)))</f>
        <v/>
      </c>
    </row>
    <row r="289" spans="2:9">
      <c r="B289" s="164">
        <v>45799</v>
      </c>
      <c r="C289" t="s">
        <v>138</v>
      </c>
      <c r="D289">
        <v>3</v>
      </c>
      <c r="E289">
        <v>533680</v>
      </c>
      <c r="F289">
        <v>20362664</v>
      </c>
      <c r="G289">
        <v>2000</v>
      </c>
      <c r="H289" t="str">
        <f>IF(C289=C288,"",COUNTIF(G289,1000)+COUNTIF(G289,2000))</f>
        <v/>
      </c>
      <c r="I289" t="str">
        <f>IF(H289=0,"",IF(C289=C288,"",SUM($H$3:H289)))</f>
        <v/>
      </c>
    </row>
    <row r="290" spans="2:9">
      <c r="B290" s="164">
        <v>45799</v>
      </c>
      <c r="C290" t="s">
        <v>138</v>
      </c>
      <c r="D290">
        <v>3</v>
      </c>
      <c r="E290">
        <v>533680</v>
      </c>
      <c r="F290">
        <v>20362664</v>
      </c>
      <c r="G290">
        <v>2000</v>
      </c>
      <c r="H290" t="str">
        <f>IF(C290=C289,"",COUNTIF(G290,1000)+COUNTIF(G290,2000))</f>
        <v/>
      </c>
      <c r="I290" t="str">
        <f>IF(H290=0,"",IF(C290=C289,"",SUM($H$3:H290)))</f>
        <v/>
      </c>
    </row>
    <row r="291" spans="2:9">
      <c r="B291" s="164">
        <v>45799</v>
      </c>
      <c r="C291" t="s">
        <v>138</v>
      </c>
      <c r="D291">
        <v>3</v>
      </c>
      <c r="E291">
        <v>533680</v>
      </c>
      <c r="F291">
        <v>20362664</v>
      </c>
      <c r="G291">
        <v>2000</v>
      </c>
      <c r="H291" t="str">
        <f>IF(C291=C290,"",COUNTIF(G291,1000)+COUNTIF(G291,2000))</f>
        <v/>
      </c>
      <c r="I291" t="str">
        <f>IF(H291=0,"",IF(C291=C290,"",SUM($H$3:H291)))</f>
        <v/>
      </c>
    </row>
    <row r="292" spans="2:9">
      <c r="B292" s="164">
        <v>45799</v>
      </c>
      <c r="C292" t="s">
        <v>138</v>
      </c>
      <c r="D292">
        <v>3</v>
      </c>
      <c r="E292">
        <v>533680</v>
      </c>
      <c r="F292">
        <v>20362664</v>
      </c>
      <c r="G292">
        <v>2000</v>
      </c>
      <c r="H292" t="str">
        <f>IF(C292=C291,"",COUNTIF(G292,1000)+COUNTIF(G292,2000))</f>
        <v/>
      </c>
      <c r="I292" t="str">
        <f>IF(H292=0,"",IF(C292=C291,"",SUM($H$3:H292)))</f>
        <v/>
      </c>
    </row>
    <row r="293" spans="2:9">
      <c r="B293" s="164">
        <v>45799</v>
      </c>
      <c r="C293" t="s">
        <v>138</v>
      </c>
      <c r="D293">
        <v>3</v>
      </c>
      <c r="E293">
        <v>533680</v>
      </c>
      <c r="F293">
        <v>20362664</v>
      </c>
      <c r="G293">
        <v>2000</v>
      </c>
      <c r="H293" t="str">
        <f>IF(C293=C292,"",COUNTIF(G293,1000)+COUNTIF(G293,2000))</f>
        <v/>
      </c>
      <c r="I293" t="str">
        <f>IF(H293=0,"",IF(C293=C292,"",SUM($H$3:H293)))</f>
        <v/>
      </c>
    </row>
    <row r="294" spans="2:9">
      <c r="B294" s="164">
        <v>45799</v>
      </c>
      <c r="C294" t="s">
        <v>138</v>
      </c>
      <c r="D294">
        <v>3</v>
      </c>
      <c r="E294">
        <v>533680</v>
      </c>
      <c r="F294">
        <v>20362664</v>
      </c>
      <c r="G294">
        <v>2000</v>
      </c>
      <c r="H294" t="str">
        <f>IF(C294=C293,"",COUNTIF(G294,1000)+COUNTIF(G294,2000))</f>
        <v/>
      </c>
      <c r="I294" t="str">
        <f>IF(H294=0,"",IF(C294=C293,"",SUM($H$3:H294)))</f>
        <v/>
      </c>
    </row>
    <row r="295" spans="2:9">
      <c r="B295" s="164">
        <v>45799</v>
      </c>
      <c r="C295" t="s">
        <v>138</v>
      </c>
      <c r="D295">
        <v>3</v>
      </c>
      <c r="E295">
        <v>533680</v>
      </c>
      <c r="F295">
        <v>20362664</v>
      </c>
      <c r="G295">
        <v>2000</v>
      </c>
      <c r="H295" t="str">
        <f>IF(C295=C294,"",COUNTIF(G295,1000)+COUNTIF(G295,2000))</f>
        <v/>
      </c>
      <c r="I295" t="str">
        <f>IF(H295=0,"",IF(C295=C294,"",SUM($H$3:H295)))</f>
        <v/>
      </c>
    </row>
    <row r="296" spans="2:9">
      <c r="B296" s="164">
        <v>45799</v>
      </c>
      <c r="C296" t="s">
        <v>138</v>
      </c>
      <c r="D296">
        <v>3</v>
      </c>
      <c r="E296">
        <v>533680</v>
      </c>
      <c r="F296">
        <v>20362664</v>
      </c>
      <c r="G296">
        <v>2000</v>
      </c>
      <c r="H296" t="str">
        <f>IF(C296=C295,"",COUNTIF(G296,1000)+COUNTIF(G296,2000))</f>
        <v/>
      </c>
      <c r="I296" t="str">
        <f>IF(H296=0,"",IF(C296=C295,"",SUM($H$3:H296)))</f>
        <v/>
      </c>
    </row>
    <row r="297" spans="2:9">
      <c r="B297" s="164">
        <v>45799</v>
      </c>
      <c r="C297" t="s">
        <v>138</v>
      </c>
      <c r="D297">
        <v>3</v>
      </c>
      <c r="E297">
        <v>533680</v>
      </c>
      <c r="F297">
        <v>20362664</v>
      </c>
      <c r="G297">
        <v>2000</v>
      </c>
      <c r="H297" t="str">
        <f>IF(C297=C296,"",COUNTIF(G297,1000)+COUNTIF(G297,2000))</f>
        <v/>
      </c>
      <c r="I297" t="str">
        <f>IF(H297=0,"",IF(C297=C296,"",SUM($H$3:H297)))</f>
        <v/>
      </c>
    </row>
    <row r="298" spans="2:9">
      <c r="B298" s="164">
        <v>45799</v>
      </c>
      <c r="C298" t="s">
        <v>138</v>
      </c>
      <c r="D298">
        <v>3</v>
      </c>
      <c r="E298">
        <v>533680</v>
      </c>
      <c r="F298">
        <v>20362664</v>
      </c>
      <c r="G298">
        <v>2000</v>
      </c>
      <c r="H298" t="str">
        <f>IF(C298=C297,"",COUNTIF(G298,1000)+COUNTIF(G298,2000))</f>
        <v/>
      </c>
      <c r="I298" t="str">
        <f>IF(H298=0,"",IF(C298=C297,"",SUM($H$3:H298)))</f>
        <v/>
      </c>
    </row>
    <row r="299" spans="2:9">
      <c r="B299" s="164">
        <v>45799</v>
      </c>
      <c r="C299" t="s">
        <v>138</v>
      </c>
      <c r="D299">
        <v>3</v>
      </c>
      <c r="E299">
        <v>533680</v>
      </c>
      <c r="F299">
        <v>20362664</v>
      </c>
      <c r="G299">
        <v>2000</v>
      </c>
      <c r="H299" t="str">
        <f>IF(C299=C298,"",COUNTIF(G299,1000)+COUNTIF(G299,2000))</f>
        <v/>
      </c>
      <c r="I299" t="str">
        <f>IF(H299=0,"",IF(C299=C298,"",SUM($H$3:H299)))</f>
        <v/>
      </c>
    </row>
    <row r="300" spans="2:9">
      <c r="B300" s="164">
        <v>45799</v>
      </c>
      <c r="C300" t="s">
        <v>138</v>
      </c>
      <c r="D300">
        <v>3</v>
      </c>
      <c r="E300">
        <v>533680</v>
      </c>
      <c r="F300">
        <v>20362664</v>
      </c>
      <c r="G300">
        <v>2000</v>
      </c>
      <c r="H300" t="str">
        <f>IF(C300=C299,"",COUNTIF(G300,1000)+COUNTIF(G300,2000))</f>
        <v/>
      </c>
      <c r="I300" t="str">
        <f>IF(H300=0,"",IF(C300=C299,"",SUM($H$3:H300)))</f>
        <v/>
      </c>
    </row>
    <row r="301" spans="2:9">
      <c r="B301" s="164">
        <v>45799</v>
      </c>
      <c r="C301" t="s">
        <v>138</v>
      </c>
      <c r="D301">
        <v>3</v>
      </c>
      <c r="E301">
        <v>533680</v>
      </c>
      <c r="F301">
        <v>20362664</v>
      </c>
      <c r="G301">
        <v>2000</v>
      </c>
      <c r="H301" t="str">
        <f>IF(C301=C300,"",COUNTIF(G301,1000)+COUNTIF(G301,2000))</f>
        <v/>
      </c>
      <c r="I301" t="str">
        <f>IF(H301=0,"",IF(C301=C300,"",SUM($H$3:H301)))</f>
        <v/>
      </c>
    </row>
    <row r="302" spans="2:9">
      <c r="B302" s="164">
        <v>45799</v>
      </c>
      <c r="C302" t="s">
        <v>138</v>
      </c>
      <c r="D302">
        <v>3</v>
      </c>
      <c r="E302">
        <v>533680</v>
      </c>
      <c r="F302">
        <v>20362664</v>
      </c>
      <c r="G302">
        <v>2000</v>
      </c>
      <c r="H302" t="str">
        <f>IF(C302=C301,"",COUNTIF(G302,1000)+COUNTIF(G302,2000))</f>
        <v/>
      </c>
      <c r="I302" t="str">
        <f>IF(H302=0,"",IF(C302=C301,"",SUM($H$3:H302)))</f>
        <v/>
      </c>
    </row>
    <row r="303" spans="2:9">
      <c r="B303" s="164">
        <v>45799</v>
      </c>
      <c r="C303" t="s">
        <v>138</v>
      </c>
      <c r="D303">
        <v>3</v>
      </c>
      <c r="E303">
        <v>533680</v>
      </c>
      <c r="F303">
        <v>20362664</v>
      </c>
      <c r="G303">
        <v>2000</v>
      </c>
      <c r="H303" t="str">
        <f>IF(C303=C302,"",COUNTIF(G303,1000)+COUNTIF(G303,2000))</f>
        <v/>
      </c>
      <c r="I303" t="str">
        <f>IF(H303=0,"",IF(C303=C302,"",SUM($H$3:H303)))</f>
        <v/>
      </c>
    </row>
    <row r="304" spans="2:9">
      <c r="B304" s="164">
        <v>45799</v>
      </c>
      <c r="C304" t="s">
        <v>138</v>
      </c>
      <c r="D304">
        <v>3</v>
      </c>
      <c r="E304">
        <v>533680</v>
      </c>
      <c r="F304">
        <v>20362664</v>
      </c>
      <c r="G304">
        <v>2000</v>
      </c>
      <c r="H304" t="str">
        <f>IF(C304=C303,"",COUNTIF(G304,1000)+COUNTIF(G304,2000))</f>
        <v/>
      </c>
      <c r="I304" t="str">
        <f>IF(H304=0,"",IF(C304=C303,"",SUM($H$3:H304)))</f>
        <v/>
      </c>
    </row>
    <row r="305" spans="2:9">
      <c r="B305" s="164">
        <v>45799</v>
      </c>
      <c r="C305" t="s">
        <v>138</v>
      </c>
      <c r="D305">
        <v>3</v>
      </c>
      <c r="E305">
        <v>533680</v>
      </c>
      <c r="F305">
        <v>20362664</v>
      </c>
      <c r="G305">
        <v>2000</v>
      </c>
      <c r="H305" t="str">
        <f>IF(C305=C304,"",COUNTIF(G305,1000)+COUNTIF(G305,2000))</f>
        <v/>
      </c>
      <c r="I305" t="str">
        <f>IF(H305=0,"",IF(C305=C304,"",SUM($H$3:H305)))</f>
        <v/>
      </c>
    </row>
    <row r="306" spans="2:9">
      <c r="B306" s="164">
        <v>45799</v>
      </c>
      <c r="C306" t="s">
        <v>138</v>
      </c>
      <c r="D306">
        <v>3</v>
      </c>
      <c r="E306">
        <v>533680</v>
      </c>
      <c r="F306">
        <v>20362664</v>
      </c>
      <c r="G306">
        <v>2000</v>
      </c>
      <c r="H306" t="str">
        <f>IF(C306=C305,"",COUNTIF(G306,1000)+COUNTIF(G306,2000))</f>
        <v/>
      </c>
      <c r="I306" t="str">
        <f>IF(H306=0,"",IF(C306=C305,"",SUM($H$3:H306)))</f>
        <v/>
      </c>
    </row>
    <row r="307" spans="2:9">
      <c r="B307" s="164">
        <v>45799</v>
      </c>
      <c r="C307" t="s">
        <v>138</v>
      </c>
      <c r="D307">
        <v>3</v>
      </c>
      <c r="E307">
        <v>533680</v>
      </c>
      <c r="F307">
        <v>20362664</v>
      </c>
      <c r="G307">
        <v>2000</v>
      </c>
      <c r="H307" t="str">
        <f>IF(C307=C306,"",COUNTIF(G307,1000)+COUNTIF(G307,2000))</f>
        <v/>
      </c>
      <c r="I307" t="str">
        <f>IF(H307=0,"",IF(C307=C306,"",SUM($H$3:H307)))</f>
        <v/>
      </c>
    </row>
    <row r="308" spans="2:9">
      <c r="B308" s="164">
        <v>45799</v>
      </c>
      <c r="C308" t="s">
        <v>138</v>
      </c>
      <c r="D308">
        <v>3</v>
      </c>
      <c r="E308">
        <v>533680</v>
      </c>
      <c r="F308">
        <v>20362664</v>
      </c>
      <c r="G308">
        <v>2000</v>
      </c>
      <c r="H308" t="str">
        <f>IF(C308=C307,"",COUNTIF(G308,1000)+COUNTIF(G308,2000))</f>
        <v/>
      </c>
      <c r="I308" t="str">
        <f>IF(H308=0,"",IF(C308=C307,"",SUM($H$3:H308)))</f>
        <v/>
      </c>
    </row>
    <row r="309" spans="2:9">
      <c r="B309" s="164">
        <v>45799</v>
      </c>
      <c r="C309" t="s">
        <v>138</v>
      </c>
      <c r="D309">
        <v>3</v>
      </c>
      <c r="E309">
        <v>533680</v>
      </c>
      <c r="F309">
        <v>20362664</v>
      </c>
      <c r="G309">
        <v>2000</v>
      </c>
      <c r="H309" t="str">
        <f>IF(C309=C308,"",COUNTIF(G309,1000)+COUNTIF(G309,2000))</f>
        <v/>
      </c>
      <c r="I309" t="str">
        <f>IF(H309=0,"",IF(C309=C308,"",SUM($H$3:H309)))</f>
        <v/>
      </c>
    </row>
    <row r="310" spans="2:9">
      <c r="B310" s="164">
        <v>45799</v>
      </c>
      <c r="C310" t="s">
        <v>138</v>
      </c>
      <c r="D310">
        <v>3</v>
      </c>
      <c r="E310">
        <v>533680</v>
      </c>
      <c r="F310">
        <v>20362664</v>
      </c>
      <c r="G310">
        <v>2000</v>
      </c>
      <c r="H310" t="str">
        <f>IF(C310=C309,"",COUNTIF(G310,1000)+COUNTIF(G310,2000))</f>
        <v/>
      </c>
      <c r="I310" t="str">
        <f>IF(H310=0,"",IF(C310=C309,"",SUM($H$3:H310)))</f>
        <v/>
      </c>
    </row>
    <row r="311" spans="2:9">
      <c r="B311" s="164">
        <v>45800</v>
      </c>
      <c r="C311" t="s">
        <v>134</v>
      </c>
      <c r="D311">
        <v>1</v>
      </c>
      <c r="E311">
        <v>350000</v>
      </c>
      <c r="F311">
        <v>13257328</v>
      </c>
      <c r="G311">
        <v>1000</v>
      </c>
      <c r="H311">
        <f>IF(C311=C310,"",COUNTIF(G311,1000)+COUNTIF(G311,2000))</f>
        <v>1</v>
      </c>
      <c r="I311">
        <f>IF(H311=0,"",IF(C311=C310,"",SUM($H$3:H311)))</f>
        <v>6</v>
      </c>
    </row>
    <row r="312" spans="2:9">
      <c r="B312" s="164">
        <v>45800</v>
      </c>
      <c r="C312" t="s">
        <v>134</v>
      </c>
      <c r="D312">
        <v>1</v>
      </c>
      <c r="E312">
        <v>350000</v>
      </c>
      <c r="F312">
        <v>13257328</v>
      </c>
      <c r="G312">
        <v>1000</v>
      </c>
      <c r="H312" t="str">
        <f>IF(C312=C311,"",COUNTIF(G312,1000)+COUNTIF(G312,2000))</f>
        <v/>
      </c>
      <c r="I312" t="str">
        <f>IF(H312=0,"",IF(C312=C311,"",SUM($H$3:H312)))</f>
        <v/>
      </c>
    </row>
    <row r="313" spans="2:9">
      <c r="B313" s="164">
        <v>45800</v>
      </c>
      <c r="C313" t="s">
        <v>134</v>
      </c>
      <c r="D313">
        <v>1</v>
      </c>
      <c r="E313">
        <v>350000</v>
      </c>
      <c r="F313">
        <v>13257328</v>
      </c>
      <c r="G313">
        <v>1000</v>
      </c>
      <c r="H313" t="str">
        <f>IF(C313=C312,"",COUNTIF(G313,1000)+COUNTIF(G313,2000))</f>
        <v/>
      </c>
      <c r="I313" t="str">
        <f>IF(H313=0,"",IF(C313=C312,"",SUM($H$3:H313)))</f>
        <v/>
      </c>
    </row>
    <row r="314" spans="2:9">
      <c r="B314" s="164">
        <v>45800</v>
      </c>
      <c r="C314" t="s">
        <v>134</v>
      </c>
      <c r="D314">
        <v>1</v>
      </c>
      <c r="E314">
        <v>350000</v>
      </c>
      <c r="F314">
        <v>13257328</v>
      </c>
      <c r="G314">
        <v>1000</v>
      </c>
      <c r="H314" t="str">
        <f>IF(C314=C313,"",COUNTIF(G314,1000)+COUNTIF(G314,2000))</f>
        <v/>
      </c>
      <c r="I314" t="str">
        <f>IF(H314=0,"",IF(C314=C313,"",SUM($H$3:H314)))</f>
        <v/>
      </c>
    </row>
    <row r="315" spans="2:9">
      <c r="B315" s="164">
        <v>45800</v>
      </c>
      <c r="C315" t="s">
        <v>134</v>
      </c>
      <c r="D315">
        <v>1</v>
      </c>
      <c r="E315">
        <v>350000</v>
      </c>
      <c r="F315">
        <v>13257328</v>
      </c>
      <c r="G315">
        <v>1000</v>
      </c>
      <c r="H315" t="str">
        <f>IF(C315=C314,"",COUNTIF(G315,1000)+COUNTIF(G315,2000))</f>
        <v/>
      </c>
      <c r="I315" t="str">
        <f>IF(H315=0,"",IF(C315=C314,"",SUM($H$3:H315)))</f>
        <v/>
      </c>
    </row>
    <row r="316" spans="2:9">
      <c r="B316" s="164">
        <v>45800</v>
      </c>
      <c r="C316" t="s">
        <v>134</v>
      </c>
      <c r="D316">
        <v>1</v>
      </c>
      <c r="E316">
        <v>350000</v>
      </c>
      <c r="F316">
        <v>13257328</v>
      </c>
      <c r="G316">
        <v>1000</v>
      </c>
      <c r="H316" t="str">
        <f>IF(C316=C315,"",COUNTIF(G316,1000)+COUNTIF(G316,2000))</f>
        <v/>
      </c>
      <c r="I316" t="str">
        <f>IF(H316=0,"",IF(C316=C315,"",SUM($H$3:H316)))</f>
        <v/>
      </c>
    </row>
    <row r="317" spans="2:9">
      <c r="B317" s="164">
        <v>45800</v>
      </c>
      <c r="C317" t="s">
        <v>134</v>
      </c>
      <c r="D317">
        <v>1</v>
      </c>
      <c r="E317">
        <v>350000</v>
      </c>
      <c r="F317">
        <v>13257328</v>
      </c>
      <c r="G317">
        <v>1000</v>
      </c>
      <c r="H317" t="str">
        <f>IF(C317=C316,"",COUNTIF(G317,1000)+COUNTIF(G317,2000))</f>
        <v/>
      </c>
      <c r="I317" t="str">
        <f>IF(H317=0,"",IF(C317=C316,"",SUM($H$3:H317)))</f>
        <v/>
      </c>
    </row>
    <row r="318" spans="2:9">
      <c r="B318" s="164">
        <v>45800</v>
      </c>
      <c r="C318" t="s">
        <v>134</v>
      </c>
      <c r="D318">
        <v>1</v>
      </c>
      <c r="E318">
        <v>350000</v>
      </c>
      <c r="F318">
        <v>13257328</v>
      </c>
      <c r="G318">
        <v>1000</v>
      </c>
      <c r="H318" t="str">
        <f>IF(C318=C317,"",COUNTIF(G318,1000)+COUNTIF(G318,2000))</f>
        <v/>
      </c>
      <c r="I318" t="str">
        <f>IF(H318=0,"",IF(C318=C317,"",SUM($H$3:H318)))</f>
        <v/>
      </c>
    </row>
    <row r="319" spans="2:9">
      <c r="B319" s="164">
        <v>45800</v>
      </c>
      <c r="C319" t="s">
        <v>134</v>
      </c>
      <c r="D319">
        <v>1</v>
      </c>
      <c r="E319">
        <v>350000</v>
      </c>
      <c r="F319">
        <v>13257328</v>
      </c>
      <c r="G319">
        <v>1000</v>
      </c>
      <c r="H319" t="str">
        <f>IF(C319=C318,"",COUNTIF(G319,1000)+COUNTIF(G319,2000))</f>
        <v/>
      </c>
      <c r="I319" t="str">
        <f>IF(H319=0,"",IF(C319=C318,"",SUM($H$3:H319)))</f>
        <v/>
      </c>
    </row>
    <row r="320" spans="2:9">
      <c r="B320" s="164">
        <v>45800</v>
      </c>
      <c r="C320" t="s">
        <v>134</v>
      </c>
      <c r="D320">
        <v>1</v>
      </c>
      <c r="E320">
        <v>350000</v>
      </c>
      <c r="F320">
        <v>13257328</v>
      </c>
      <c r="G320">
        <v>1000</v>
      </c>
      <c r="H320" t="str">
        <f>IF(C320=C319,"",COUNTIF(G320,1000)+COUNTIF(G320,2000))</f>
        <v/>
      </c>
      <c r="I320" t="str">
        <f>IF(H320=0,"",IF(C320=C319,"",SUM($H$3:H320)))</f>
        <v/>
      </c>
    </row>
    <row r="321" spans="2:9">
      <c r="B321" s="164">
        <v>45800</v>
      </c>
      <c r="C321" t="s">
        <v>134</v>
      </c>
      <c r="D321">
        <v>1</v>
      </c>
      <c r="E321">
        <v>350000</v>
      </c>
      <c r="F321">
        <v>13257328</v>
      </c>
      <c r="G321">
        <v>1000</v>
      </c>
      <c r="H321" t="str">
        <f>IF(C321=C320,"",COUNTIF(G321,1000)+COUNTIF(G321,2000))</f>
        <v/>
      </c>
      <c r="I321" t="str">
        <f>IF(H321=0,"",IF(C321=C320,"",SUM($H$3:H321)))</f>
        <v/>
      </c>
    </row>
    <row r="322" spans="2:9">
      <c r="B322" s="164">
        <v>45800</v>
      </c>
      <c r="C322" t="s">
        <v>134</v>
      </c>
      <c r="D322">
        <v>1</v>
      </c>
      <c r="E322">
        <v>350000</v>
      </c>
      <c r="F322">
        <v>13257328</v>
      </c>
      <c r="G322">
        <v>1000</v>
      </c>
      <c r="H322" t="str">
        <f>IF(C322=C321,"",COUNTIF(G322,1000)+COUNTIF(G322,2000))</f>
        <v/>
      </c>
      <c r="I322" t="str">
        <f>IF(H322=0,"",IF(C322=C321,"",SUM($H$3:H322)))</f>
        <v/>
      </c>
    </row>
    <row r="323" spans="2:9">
      <c r="B323" s="164">
        <v>45800</v>
      </c>
      <c r="C323" t="s">
        <v>134</v>
      </c>
      <c r="D323">
        <v>1</v>
      </c>
      <c r="E323">
        <v>350000</v>
      </c>
      <c r="F323">
        <v>13257328</v>
      </c>
      <c r="G323">
        <v>1000</v>
      </c>
      <c r="H323" t="str">
        <f>IF(C323=C322,"",COUNTIF(G323,1000)+COUNTIF(G323,2000))</f>
        <v/>
      </c>
      <c r="I323" t="str">
        <f>IF(H323=0,"",IF(C323=C322,"",SUM($H$3:H323)))</f>
        <v/>
      </c>
    </row>
    <row r="324" spans="2:9">
      <c r="B324" s="164">
        <v>45800</v>
      </c>
      <c r="C324" t="s">
        <v>134</v>
      </c>
      <c r="D324">
        <v>1</v>
      </c>
      <c r="E324">
        <v>350000</v>
      </c>
      <c r="F324">
        <v>13257328</v>
      </c>
      <c r="G324">
        <v>1000</v>
      </c>
      <c r="H324" t="str">
        <f>IF(C324=C323,"",COUNTIF(G324,1000)+COUNTIF(G324,2000))</f>
        <v/>
      </c>
      <c r="I324" t="str">
        <f>IF(H324=0,"",IF(C324=C323,"",SUM($H$3:H324)))</f>
        <v/>
      </c>
    </row>
    <row r="325" spans="2:9">
      <c r="B325" s="164">
        <v>45800</v>
      </c>
      <c r="C325" t="s">
        <v>134</v>
      </c>
      <c r="D325">
        <v>1</v>
      </c>
      <c r="E325">
        <v>350000</v>
      </c>
      <c r="F325">
        <v>13257328</v>
      </c>
      <c r="G325">
        <v>1000</v>
      </c>
      <c r="H325" t="str">
        <f>IF(C325=C324,"",COUNTIF(G325,1000)+COUNTIF(G325,2000))</f>
        <v/>
      </c>
      <c r="I325" t="str">
        <f>IF(H325=0,"",IF(C325=C324,"",SUM($H$3:H325)))</f>
        <v/>
      </c>
    </row>
    <row r="326" spans="2:9">
      <c r="B326" s="164">
        <v>45800</v>
      </c>
      <c r="C326" t="s">
        <v>134</v>
      </c>
      <c r="D326">
        <v>1</v>
      </c>
      <c r="E326">
        <v>350000</v>
      </c>
      <c r="F326">
        <v>13257328</v>
      </c>
      <c r="G326">
        <v>1000</v>
      </c>
      <c r="H326" t="str">
        <f>IF(C326=C325,"",COUNTIF(G326,1000)+COUNTIF(G326,2000))</f>
        <v/>
      </c>
      <c r="I326" t="str">
        <f>IF(H326=0,"",IF(C326=C325,"",SUM($H$3:H326)))</f>
        <v/>
      </c>
    </row>
    <row r="327" spans="2:9">
      <c r="B327" s="164">
        <v>45800</v>
      </c>
      <c r="C327" t="s">
        <v>134</v>
      </c>
      <c r="D327">
        <v>1</v>
      </c>
      <c r="E327">
        <v>350000</v>
      </c>
      <c r="F327">
        <v>13257328</v>
      </c>
      <c r="G327">
        <v>1000</v>
      </c>
      <c r="H327" t="str">
        <f>IF(C327=C326,"",COUNTIF(G327,1000)+COUNTIF(G327,2000))</f>
        <v/>
      </c>
      <c r="I327" t="str">
        <f>IF(H327=0,"",IF(C327=C326,"",SUM($H$3:H327)))</f>
        <v/>
      </c>
    </row>
    <row r="328" spans="2:9">
      <c r="B328" s="164">
        <v>45800</v>
      </c>
      <c r="C328" t="s">
        <v>134</v>
      </c>
      <c r="D328">
        <v>1</v>
      </c>
      <c r="E328">
        <v>350000</v>
      </c>
      <c r="F328">
        <v>13257328</v>
      </c>
      <c r="G328">
        <v>1000</v>
      </c>
      <c r="H328" t="str">
        <f>IF(C328=C327,"",COUNTIF(G328,1000)+COUNTIF(G328,2000))</f>
        <v/>
      </c>
      <c r="I328" t="str">
        <f>IF(H328=0,"",IF(C328=C327,"",SUM($H$3:H328)))</f>
        <v/>
      </c>
    </row>
    <row r="329" spans="2:9">
      <c r="B329" s="164">
        <v>45800</v>
      </c>
      <c r="C329" t="s">
        <v>134</v>
      </c>
      <c r="D329">
        <v>1</v>
      </c>
      <c r="E329">
        <v>350000</v>
      </c>
      <c r="F329">
        <v>13257328</v>
      </c>
      <c r="G329">
        <v>1000</v>
      </c>
      <c r="H329" t="str">
        <f>IF(C329=C328,"",COUNTIF(G329,1000)+COUNTIF(G329,2000))</f>
        <v/>
      </c>
      <c r="I329" t="str">
        <f>IF(H329=0,"",IF(C329=C328,"",SUM($H$3:H329)))</f>
        <v/>
      </c>
    </row>
    <row r="330" spans="2:9">
      <c r="B330" s="164">
        <v>45800</v>
      </c>
      <c r="C330" t="s">
        <v>134</v>
      </c>
      <c r="D330">
        <v>1</v>
      </c>
      <c r="E330">
        <v>350000</v>
      </c>
      <c r="F330">
        <v>13257328</v>
      </c>
      <c r="G330">
        <v>1000</v>
      </c>
      <c r="H330" t="str">
        <f>IF(C330=C329,"",COUNTIF(G330,1000)+COUNTIF(G330,2000))</f>
        <v/>
      </c>
      <c r="I330" t="str">
        <f>IF(H330=0,"",IF(C330=C329,"",SUM($H$3:H330)))</f>
        <v/>
      </c>
    </row>
    <row r="331" spans="2:9">
      <c r="B331" s="164">
        <v>45800</v>
      </c>
      <c r="C331" t="s">
        <v>134</v>
      </c>
      <c r="D331">
        <v>1</v>
      </c>
      <c r="E331">
        <v>350000</v>
      </c>
      <c r="F331">
        <v>13257328</v>
      </c>
      <c r="G331">
        <v>1000</v>
      </c>
      <c r="H331" t="str">
        <f>IF(C331=C330,"",COUNTIF(G331,1000)+COUNTIF(G331,2000))</f>
        <v/>
      </c>
      <c r="I331" t="str">
        <f>IF(H331=0,"",IF(C331=C330,"",SUM($H$3:H331)))</f>
        <v/>
      </c>
    </row>
    <row r="332" spans="2:9">
      <c r="B332" s="164">
        <v>45800</v>
      </c>
      <c r="C332" t="s">
        <v>134</v>
      </c>
      <c r="D332">
        <v>1</v>
      </c>
      <c r="E332">
        <v>350000</v>
      </c>
      <c r="F332">
        <v>13257328</v>
      </c>
      <c r="G332">
        <v>1000</v>
      </c>
      <c r="H332" t="str">
        <f>IF(C332=C331,"",COUNTIF(G332,1000)+COUNTIF(G332,2000))</f>
        <v/>
      </c>
      <c r="I332" t="str">
        <f>IF(H332=0,"",IF(C332=C331,"",SUM($H$3:H332)))</f>
        <v/>
      </c>
    </row>
    <row r="333" spans="2:9">
      <c r="B333" s="164">
        <v>45800</v>
      </c>
      <c r="C333" t="s">
        <v>134</v>
      </c>
      <c r="D333">
        <v>1</v>
      </c>
      <c r="E333">
        <v>350000</v>
      </c>
      <c r="F333">
        <v>13257328</v>
      </c>
      <c r="G333">
        <v>1000</v>
      </c>
      <c r="H333" t="str">
        <f>IF(C333=C332,"",COUNTIF(G333,1000)+COUNTIF(G333,2000))</f>
        <v/>
      </c>
      <c r="I333" t="str">
        <f>IF(H333=0,"",IF(C333=C332,"",SUM($H$3:H333)))</f>
        <v/>
      </c>
    </row>
    <row r="334" spans="2:9">
      <c r="B334" s="164">
        <v>45800</v>
      </c>
      <c r="C334" t="s">
        <v>134</v>
      </c>
      <c r="D334">
        <v>1</v>
      </c>
      <c r="E334">
        <v>350000</v>
      </c>
      <c r="F334">
        <v>13257328</v>
      </c>
      <c r="G334">
        <v>1000</v>
      </c>
      <c r="H334" t="str">
        <f>IF(C334=C333,"",COUNTIF(G334,1000)+COUNTIF(G334,2000))</f>
        <v/>
      </c>
      <c r="I334" t="str">
        <f>IF(H334=0,"",IF(C334=C333,"",SUM($H$3:H334)))</f>
        <v/>
      </c>
    </row>
    <row r="335" spans="2:9">
      <c r="B335" s="164">
        <v>45800</v>
      </c>
      <c r="C335" t="s">
        <v>134</v>
      </c>
      <c r="D335">
        <v>1</v>
      </c>
      <c r="E335">
        <v>350000</v>
      </c>
      <c r="F335">
        <v>13257328</v>
      </c>
      <c r="G335">
        <v>1000</v>
      </c>
      <c r="H335" t="str">
        <f>IF(C335=C334,"",COUNTIF(G335,1000)+COUNTIF(G335,2000))</f>
        <v/>
      </c>
      <c r="I335" t="str">
        <f>IF(H335=0,"",IF(C335=C334,"",SUM($H$3:H335)))</f>
        <v/>
      </c>
    </row>
    <row r="336" spans="2:9">
      <c r="B336" s="164">
        <v>45800</v>
      </c>
      <c r="C336" t="s">
        <v>134</v>
      </c>
      <c r="D336">
        <v>1</v>
      </c>
      <c r="E336">
        <v>350000</v>
      </c>
      <c r="F336">
        <v>13257328</v>
      </c>
      <c r="G336">
        <v>1000</v>
      </c>
      <c r="H336" t="str">
        <f>IF(C336=C335,"",COUNTIF(G336,1000)+COUNTIF(G336,2000))</f>
        <v/>
      </c>
      <c r="I336" t="str">
        <f>IF(H336=0,"",IF(C336=C335,"",SUM($H$3:H336)))</f>
        <v/>
      </c>
    </row>
    <row r="337" spans="2:9">
      <c r="B337" s="164">
        <v>45800</v>
      </c>
      <c r="C337" t="s">
        <v>134</v>
      </c>
      <c r="D337">
        <v>1</v>
      </c>
      <c r="E337">
        <v>350000</v>
      </c>
      <c r="F337">
        <v>13257328</v>
      </c>
      <c r="G337">
        <v>1000</v>
      </c>
      <c r="H337" t="str">
        <f>IF(C337=C336,"",COUNTIF(G337,1000)+COUNTIF(G337,2000))</f>
        <v/>
      </c>
      <c r="I337" t="str">
        <f>IF(H337=0,"",IF(C337=C336,"",SUM($H$3:H337)))</f>
        <v/>
      </c>
    </row>
    <row r="338" spans="2:9">
      <c r="B338" s="164">
        <v>45800</v>
      </c>
      <c r="C338" t="s">
        <v>134</v>
      </c>
      <c r="D338">
        <v>1</v>
      </c>
      <c r="E338">
        <v>350000</v>
      </c>
      <c r="F338">
        <v>13257328</v>
      </c>
      <c r="G338">
        <v>1000</v>
      </c>
      <c r="H338" t="str">
        <f>IF(C338=C337,"",COUNTIF(G338,1000)+COUNTIF(G338,2000))</f>
        <v/>
      </c>
      <c r="I338" t="str">
        <f>IF(H338=0,"",IF(C338=C337,"",SUM($H$3:H338)))</f>
        <v/>
      </c>
    </row>
    <row r="339" spans="2:9">
      <c r="B339" s="164">
        <v>45800</v>
      </c>
      <c r="C339" t="s">
        <v>134</v>
      </c>
      <c r="D339">
        <v>1</v>
      </c>
      <c r="E339">
        <v>350000</v>
      </c>
      <c r="F339">
        <v>13257328</v>
      </c>
      <c r="G339">
        <v>1000</v>
      </c>
      <c r="H339" t="str">
        <f>IF(C339=C338,"",COUNTIF(G339,1000)+COUNTIF(G339,2000))</f>
        <v/>
      </c>
      <c r="I339" t="str">
        <f>IF(H339=0,"",IF(C339=C338,"",SUM($H$3:H339)))</f>
        <v/>
      </c>
    </row>
    <row r="340" spans="2:9">
      <c r="B340" s="164">
        <v>45804</v>
      </c>
      <c r="C340" t="s">
        <v>145</v>
      </c>
      <c r="D340">
        <v>1</v>
      </c>
      <c r="E340">
        <v>100000</v>
      </c>
      <c r="F340">
        <v>3874495</v>
      </c>
      <c r="G340">
        <v>2000</v>
      </c>
      <c r="H340">
        <f>IF(C340=C339,"",COUNTIF(G340,1000)+COUNTIF(G340,2000))</f>
        <v>1</v>
      </c>
      <c r="I340">
        <f>IF(H340=0,"",IF(C340=C339,"",SUM($H$3:H340)))</f>
        <v>7</v>
      </c>
    </row>
    <row r="341" spans="2:9">
      <c r="B341" s="164">
        <v>45804</v>
      </c>
      <c r="C341" t="s">
        <v>145</v>
      </c>
      <c r="D341">
        <v>1</v>
      </c>
      <c r="E341">
        <v>100000</v>
      </c>
      <c r="F341">
        <v>3874495</v>
      </c>
      <c r="G341">
        <v>2000</v>
      </c>
      <c r="H341" t="str">
        <f>IF(C341=C340,"",COUNTIF(G341,1000)+COUNTIF(G341,2000))</f>
        <v/>
      </c>
      <c r="I341" t="str">
        <f>IF(H341=0,"",IF(C341=C340,"",SUM($H$3:H341)))</f>
        <v/>
      </c>
    </row>
    <row r="342" spans="2:9">
      <c r="B342" s="164">
        <v>45804</v>
      </c>
      <c r="C342" t="s">
        <v>145</v>
      </c>
      <c r="D342">
        <v>1</v>
      </c>
      <c r="E342">
        <v>100000</v>
      </c>
      <c r="F342">
        <v>3874495</v>
      </c>
      <c r="G342">
        <v>2000</v>
      </c>
      <c r="H342" t="str">
        <f>IF(C342=C341,"",COUNTIF(G342,1000)+COUNTIF(G342,2000))</f>
        <v/>
      </c>
      <c r="I342" t="str">
        <f>IF(H342=0,"",IF(C342=C341,"",SUM($H$3:H342)))</f>
        <v/>
      </c>
    </row>
    <row r="343" spans="2:9">
      <c r="B343" s="164">
        <v>45804</v>
      </c>
      <c r="C343" t="s">
        <v>145</v>
      </c>
      <c r="D343">
        <v>1</v>
      </c>
      <c r="E343">
        <v>100000</v>
      </c>
      <c r="F343">
        <v>3874495</v>
      </c>
      <c r="G343">
        <v>2000</v>
      </c>
      <c r="H343" t="str">
        <f>IF(C343=C342,"",COUNTIF(G343,1000)+COUNTIF(G343,2000))</f>
        <v/>
      </c>
      <c r="I343" t="str">
        <f>IF(H343=0,"",IF(C343=C342,"",SUM($H$3:H343)))</f>
        <v/>
      </c>
    </row>
    <row r="344" spans="2:9">
      <c r="B344" s="164">
        <v>45804</v>
      </c>
      <c r="C344" t="s">
        <v>145</v>
      </c>
      <c r="D344">
        <v>1</v>
      </c>
      <c r="E344">
        <v>100000</v>
      </c>
      <c r="F344">
        <v>3874495</v>
      </c>
      <c r="G344">
        <v>2000</v>
      </c>
      <c r="H344" t="str">
        <f>IF(C344=C343,"",COUNTIF(G344,1000)+COUNTIF(G344,2000))</f>
        <v/>
      </c>
      <c r="I344" t="str">
        <f>IF(H344=0,"",IF(C344=C343,"",SUM($H$3:H344)))</f>
        <v/>
      </c>
    </row>
    <row r="345" spans="2:9">
      <c r="B345" s="164">
        <v>45804</v>
      </c>
      <c r="C345" t="s">
        <v>145</v>
      </c>
      <c r="D345">
        <v>1</v>
      </c>
      <c r="E345">
        <v>100000</v>
      </c>
      <c r="F345">
        <v>3874495</v>
      </c>
      <c r="G345">
        <v>2000</v>
      </c>
      <c r="H345" t="str">
        <f>IF(C345=C344,"",COUNTIF(G345,1000)+COUNTIF(G345,2000))</f>
        <v/>
      </c>
      <c r="I345" t="str">
        <f>IF(H345=0,"",IF(C345=C344,"",SUM($H$3:H345)))</f>
        <v/>
      </c>
    </row>
    <row r="346" spans="2:9">
      <c r="B346" s="164">
        <v>45804</v>
      </c>
      <c r="C346" t="s">
        <v>145</v>
      </c>
      <c r="D346">
        <v>1</v>
      </c>
      <c r="E346">
        <v>100000</v>
      </c>
      <c r="F346">
        <v>3874495</v>
      </c>
      <c r="G346">
        <v>2000</v>
      </c>
      <c r="H346" t="str">
        <f>IF(C346=C345,"",COUNTIF(G346,1000)+COUNTIF(G346,2000))</f>
        <v/>
      </c>
      <c r="I346" t="str">
        <f>IF(H346=0,"",IF(C346=C345,"",SUM($H$3:H346)))</f>
        <v/>
      </c>
    </row>
    <row r="347" spans="2:9">
      <c r="B347" s="164">
        <v>45804</v>
      </c>
      <c r="C347" t="s">
        <v>145</v>
      </c>
      <c r="D347">
        <v>1</v>
      </c>
      <c r="E347">
        <v>100000</v>
      </c>
      <c r="F347">
        <v>3874495</v>
      </c>
      <c r="G347">
        <v>2000</v>
      </c>
      <c r="H347" t="str">
        <f>IF(C347=C346,"",COUNTIF(G347,1000)+COUNTIF(G347,2000))</f>
        <v/>
      </c>
      <c r="I347" t="str">
        <f>IF(H347=0,"",IF(C347=C346,"",SUM($H$3:H347)))</f>
        <v/>
      </c>
    </row>
    <row r="348" spans="2:9">
      <c r="B348" s="164">
        <v>45805</v>
      </c>
      <c r="C348" t="s">
        <v>141</v>
      </c>
      <c r="D348">
        <v>1</v>
      </c>
      <c r="E348">
        <v>380000</v>
      </c>
      <c r="F348">
        <v>13915467</v>
      </c>
      <c r="G348">
        <v>2000</v>
      </c>
      <c r="H348">
        <f>IF(C348=C347,"",COUNTIF(G348,1000)+COUNTIF(G348,2000))</f>
        <v>1</v>
      </c>
      <c r="I348">
        <f>IF(H348=0,"",IF(C348=C347,"",SUM($H$3:H348)))</f>
        <v>8</v>
      </c>
    </row>
    <row r="349" spans="2:9">
      <c r="B349" s="164">
        <v>45805</v>
      </c>
      <c r="C349" t="s">
        <v>141</v>
      </c>
      <c r="D349">
        <v>1</v>
      </c>
      <c r="E349">
        <v>380000</v>
      </c>
      <c r="F349">
        <v>13915467</v>
      </c>
      <c r="G349">
        <v>2000</v>
      </c>
      <c r="H349" t="str">
        <f>IF(C349=C348,"",COUNTIF(G349,1000)+COUNTIF(G349,2000))</f>
        <v/>
      </c>
      <c r="I349" t="str">
        <f>IF(H349=0,"",IF(C349=C348,"",SUM($H$3:H349)))</f>
        <v/>
      </c>
    </row>
    <row r="350" spans="2:9">
      <c r="B350" s="164">
        <v>45805</v>
      </c>
      <c r="C350" t="s">
        <v>141</v>
      </c>
      <c r="D350">
        <v>1</v>
      </c>
      <c r="E350">
        <v>380000</v>
      </c>
      <c r="F350">
        <v>13915467</v>
      </c>
      <c r="G350">
        <v>2000</v>
      </c>
      <c r="H350" t="str">
        <f>IF(C350=C349,"",COUNTIF(G350,1000)+COUNTIF(G350,2000))</f>
        <v/>
      </c>
      <c r="I350" t="str">
        <f>IF(H350=0,"",IF(C350=C349,"",SUM($H$3:H350)))</f>
        <v/>
      </c>
    </row>
    <row r="351" spans="2:9">
      <c r="B351" s="164">
        <v>45805</v>
      </c>
      <c r="C351" t="s">
        <v>141</v>
      </c>
      <c r="D351">
        <v>1</v>
      </c>
      <c r="E351">
        <v>380000</v>
      </c>
      <c r="F351">
        <v>13915467</v>
      </c>
      <c r="G351">
        <v>2000</v>
      </c>
      <c r="H351" t="str">
        <f>IF(C351=C350,"",COUNTIF(G351,1000)+COUNTIF(G351,2000))</f>
        <v/>
      </c>
      <c r="I351" t="str">
        <f>IF(H351=0,"",IF(C351=C350,"",SUM($H$3:H351)))</f>
        <v/>
      </c>
    </row>
    <row r="352" spans="2:9">
      <c r="B352" s="164">
        <v>45805</v>
      </c>
      <c r="C352" t="s">
        <v>141</v>
      </c>
      <c r="D352">
        <v>1</v>
      </c>
      <c r="E352">
        <v>380000</v>
      </c>
      <c r="F352">
        <v>13915467</v>
      </c>
      <c r="G352">
        <v>2000</v>
      </c>
      <c r="H352" t="str">
        <f>IF(C352=C351,"",COUNTIF(G352,1000)+COUNTIF(G352,2000))</f>
        <v/>
      </c>
      <c r="I352" t="str">
        <f>IF(H352=0,"",IF(C352=C351,"",SUM($H$3:H352)))</f>
        <v/>
      </c>
    </row>
    <row r="353" spans="2:9">
      <c r="B353" s="164">
        <v>45805</v>
      </c>
      <c r="C353" t="s">
        <v>141</v>
      </c>
      <c r="D353">
        <v>1</v>
      </c>
      <c r="E353">
        <v>380000</v>
      </c>
      <c r="F353">
        <v>13915467</v>
      </c>
      <c r="G353">
        <v>2000</v>
      </c>
      <c r="H353" t="str">
        <f>IF(C353=C352,"",COUNTIF(G353,1000)+COUNTIF(G353,2000))</f>
        <v/>
      </c>
      <c r="I353" t="str">
        <f>IF(H353=0,"",IF(C353=C352,"",SUM($H$3:H353)))</f>
        <v/>
      </c>
    </row>
    <row r="354" spans="2:9">
      <c r="B354" s="164">
        <v>45805</v>
      </c>
      <c r="C354" t="s">
        <v>141</v>
      </c>
      <c r="D354">
        <v>1</v>
      </c>
      <c r="E354">
        <v>380000</v>
      </c>
      <c r="F354">
        <v>13915467</v>
      </c>
      <c r="G354">
        <v>2000</v>
      </c>
      <c r="H354" t="str">
        <f>IF(C354=C353,"",COUNTIF(G354,1000)+COUNTIF(G354,2000))</f>
        <v/>
      </c>
      <c r="I354" t="str">
        <f>IF(H354=0,"",IF(C354=C353,"",SUM($H$3:H354)))</f>
        <v/>
      </c>
    </row>
    <row r="355" spans="2:9">
      <c r="B355" s="164">
        <v>45805</v>
      </c>
      <c r="C355" t="s">
        <v>141</v>
      </c>
      <c r="D355">
        <v>1</v>
      </c>
      <c r="E355">
        <v>380000</v>
      </c>
      <c r="F355">
        <v>13915467</v>
      </c>
      <c r="G355">
        <v>2000</v>
      </c>
      <c r="H355" t="str">
        <f>IF(C355=C354,"",COUNTIF(G355,1000)+COUNTIF(G355,2000))</f>
        <v/>
      </c>
      <c r="I355" t="str">
        <f>IF(H355=0,"",IF(C355=C354,"",SUM($H$3:H355)))</f>
        <v/>
      </c>
    </row>
    <row r="356" spans="2:9">
      <c r="B356" s="164">
        <v>45805</v>
      </c>
      <c r="C356" t="s">
        <v>141</v>
      </c>
      <c r="D356">
        <v>1</v>
      </c>
      <c r="E356">
        <v>380000</v>
      </c>
      <c r="F356">
        <v>13915467</v>
      </c>
      <c r="G356">
        <v>2000</v>
      </c>
      <c r="H356" t="str">
        <f>IF(C356=C355,"",COUNTIF(G356,1000)+COUNTIF(G356,2000))</f>
        <v/>
      </c>
      <c r="I356" t="str">
        <f>IF(H356=0,"",IF(C356=C355,"",SUM($H$3:H356)))</f>
        <v/>
      </c>
    </row>
    <row r="357" spans="2:9">
      <c r="B357" s="164">
        <v>45805</v>
      </c>
      <c r="C357" t="s">
        <v>141</v>
      </c>
      <c r="D357">
        <v>1</v>
      </c>
      <c r="E357">
        <v>380000</v>
      </c>
      <c r="F357">
        <v>13915467</v>
      </c>
      <c r="G357">
        <v>2000</v>
      </c>
      <c r="H357" t="str">
        <f>IF(C357=C356,"",COUNTIF(G357,1000)+COUNTIF(G357,2000))</f>
        <v/>
      </c>
      <c r="I357" t="str">
        <f>IF(H357=0,"",IF(C357=C356,"",SUM($H$3:H357)))</f>
        <v/>
      </c>
    </row>
    <row r="358" spans="2:9">
      <c r="B358" s="164">
        <v>45805</v>
      </c>
      <c r="C358" t="s">
        <v>141</v>
      </c>
      <c r="D358">
        <v>1</v>
      </c>
      <c r="E358">
        <v>380000</v>
      </c>
      <c r="F358">
        <v>13915467</v>
      </c>
      <c r="G358">
        <v>2000</v>
      </c>
      <c r="H358" t="str">
        <f>IF(C358=C357,"",COUNTIF(G358,1000)+COUNTIF(G358,2000))</f>
        <v/>
      </c>
      <c r="I358" t="str">
        <f>IF(H358=0,"",IF(C358=C357,"",SUM($H$3:H358)))</f>
        <v/>
      </c>
    </row>
    <row r="359" spans="2:9">
      <c r="B359" s="164">
        <v>45805</v>
      </c>
      <c r="C359" t="s">
        <v>141</v>
      </c>
      <c r="D359">
        <v>1</v>
      </c>
      <c r="E359">
        <v>380000</v>
      </c>
      <c r="F359">
        <v>13915467</v>
      </c>
      <c r="G359">
        <v>2000</v>
      </c>
      <c r="H359" t="str">
        <f>IF(C359=C358,"",COUNTIF(G359,1000)+COUNTIF(G359,2000))</f>
        <v/>
      </c>
      <c r="I359" t="str">
        <f>IF(H359=0,"",IF(C359=C358,"",SUM($H$3:H359)))</f>
        <v/>
      </c>
    </row>
    <row r="360" spans="2:9">
      <c r="B360" s="164">
        <v>45805</v>
      </c>
      <c r="C360" t="s">
        <v>141</v>
      </c>
      <c r="D360">
        <v>1</v>
      </c>
      <c r="E360">
        <v>380000</v>
      </c>
      <c r="F360">
        <v>13915467</v>
      </c>
      <c r="G360">
        <v>2000</v>
      </c>
      <c r="H360" t="str">
        <f>IF(C360=C359,"",COUNTIF(G360,1000)+COUNTIF(G360,2000))</f>
        <v/>
      </c>
      <c r="I360" t="str">
        <f>IF(H360=0,"",IF(C360=C359,"",SUM($H$3:H360)))</f>
        <v/>
      </c>
    </row>
    <row r="361" spans="2:9">
      <c r="B361" s="164">
        <v>45805</v>
      </c>
      <c r="C361" t="s">
        <v>141</v>
      </c>
      <c r="D361">
        <v>1</v>
      </c>
      <c r="E361">
        <v>380000</v>
      </c>
      <c r="F361">
        <v>13915467</v>
      </c>
      <c r="G361">
        <v>2000</v>
      </c>
      <c r="H361" t="str">
        <f>IF(C361=C360,"",COUNTIF(G361,1000)+COUNTIF(G361,2000))</f>
        <v/>
      </c>
      <c r="I361" t="str">
        <f>IF(H361=0,"",IF(C361=C360,"",SUM($H$3:H361)))</f>
        <v/>
      </c>
    </row>
    <row r="362" spans="2:9">
      <c r="B362" s="164">
        <v>45805</v>
      </c>
      <c r="C362" t="s">
        <v>141</v>
      </c>
      <c r="D362">
        <v>1</v>
      </c>
      <c r="E362">
        <v>380000</v>
      </c>
      <c r="F362">
        <v>13915467</v>
      </c>
      <c r="G362">
        <v>2000</v>
      </c>
      <c r="H362" t="str">
        <f>IF(C362=C361,"",COUNTIF(G362,1000)+COUNTIF(G362,2000))</f>
        <v/>
      </c>
      <c r="I362" t="str">
        <f>IF(H362=0,"",IF(C362=C361,"",SUM($H$3:H362)))</f>
        <v/>
      </c>
    </row>
    <row r="363" spans="2:9">
      <c r="B363" s="164">
        <v>45805</v>
      </c>
      <c r="C363" t="s">
        <v>141</v>
      </c>
      <c r="D363">
        <v>1</v>
      </c>
      <c r="E363">
        <v>380000</v>
      </c>
      <c r="F363">
        <v>13915467</v>
      </c>
      <c r="G363">
        <v>2000</v>
      </c>
      <c r="H363" t="str">
        <f>IF(C363=C362,"",COUNTIF(G363,1000)+COUNTIF(G363,2000))</f>
        <v/>
      </c>
      <c r="I363" t="str">
        <f>IF(H363=0,"",IF(C363=C362,"",SUM($H$3:H363)))</f>
        <v/>
      </c>
    </row>
    <row r="364" spans="2:9">
      <c r="B364" s="164">
        <v>45805</v>
      </c>
      <c r="C364" t="s">
        <v>141</v>
      </c>
      <c r="D364">
        <v>1</v>
      </c>
      <c r="E364">
        <v>380000</v>
      </c>
      <c r="F364">
        <v>13915467</v>
      </c>
      <c r="G364">
        <v>2000</v>
      </c>
      <c r="H364" t="str">
        <f>IF(C364=C363,"",COUNTIF(G364,1000)+COUNTIF(G364,2000))</f>
        <v/>
      </c>
      <c r="I364" t="str">
        <f>IF(H364=0,"",IF(C364=C363,"",SUM($H$3:H364)))</f>
        <v/>
      </c>
    </row>
    <row r="365" spans="2:9">
      <c r="B365" s="164">
        <v>45805</v>
      </c>
      <c r="C365" t="s">
        <v>141</v>
      </c>
      <c r="D365">
        <v>1</v>
      </c>
      <c r="E365">
        <v>380000</v>
      </c>
      <c r="F365">
        <v>13915467</v>
      </c>
      <c r="G365">
        <v>2000</v>
      </c>
      <c r="H365" t="str">
        <f>IF(C365=C364,"",COUNTIF(G365,1000)+COUNTIF(G365,2000))</f>
        <v/>
      </c>
      <c r="I365" t="str">
        <f>IF(H365=0,"",IF(C365=C364,"",SUM($H$3:H365)))</f>
        <v/>
      </c>
    </row>
    <row r="366" spans="2:9">
      <c r="B366" s="164">
        <v>45805</v>
      </c>
      <c r="C366" t="s">
        <v>141</v>
      </c>
      <c r="D366">
        <v>1</v>
      </c>
      <c r="E366">
        <v>380000</v>
      </c>
      <c r="F366">
        <v>13915467</v>
      </c>
      <c r="G366">
        <v>2000</v>
      </c>
      <c r="H366" t="str">
        <f>IF(C366=C365,"",COUNTIF(G366,1000)+COUNTIF(G366,2000))</f>
        <v/>
      </c>
      <c r="I366" t="str">
        <f>IF(H366=0,"",IF(C366=C365,"",SUM($H$3:H366)))</f>
        <v/>
      </c>
    </row>
    <row r="367" spans="2:9">
      <c r="B367" s="164">
        <v>45805</v>
      </c>
      <c r="C367" t="s">
        <v>141</v>
      </c>
      <c r="D367">
        <v>1</v>
      </c>
      <c r="E367">
        <v>380000</v>
      </c>
      <c r="F367">
        <v>13915467</v>
      </c>
      <c r="G367">
        <v>2000</v>
      </c>
      <c r="H367" t="str">
        <f>IF(C367=C366,"",COUNTIF(G367,1000)+COUNTIF(G367,2000))</f>
        <v/>
      </c>
      <c r="I367" t="str">
        <f>IF(H367=0,"",IF(C367=C366,"",SUM($H$3:H367)))</f>
        <v/>
      </c>
    </row>
    <row r="368" spans="2:9">
      <c r="B368" s="164">
        <v>45805</v>
      </c>
      <c r="C368" t="s">
        <v>141</v>
      </c>
      <c r="D368">
        <v>1</v>
      </c>
      <c r="E368">
        <v>380000</v>
      </c>
      <c r="F368">
        <v>13915467</v>
      </c>
      <c r="G368">
        <v>2000</v>
      </c>
      <c r="H368" t="str">
        <f>IF(C368=C367,"",COUNTIF(G368,1000)+COUNTIF(G368,2000))</f>
        <v/>
      </c>
      <c r="I368" t="str">
        <f>IF(H368=0,"",IF(C368=C367,"",SUM($H$3:H368)))</f>
        <v/>
      </c>
    </row>
    <row r="369" spans="2:9">
      <c r="B369" s="164">
        <v>45805</v>
      </c>
      <c r="C369" t="s">
        <v>141</v>
      </c>
      <c r="D369">
        <v>1</v>
      </c>
      <c r="E369">
        <v>380000</v>
      </c>
      <c r="F369">
        <v>13915467</v>
      </c>
      <c r="G369">
        <v>2000</v>
      </c>
      <c r="H369" t="str">
        <f>IF(C369=C368,"",COUNTIF(G369,1000)+COUNTIF(G369,2000))</f>
        <v/>
      </c>
      <c r="I369" t="str">
        <f>IF(H369=0,"",IF(C369=C368,"",SUM($H$3:H369)))</f>
        <v/>
      </c>
    </row>
    <row r="370" spans="2:9">
      <c r="B370" s="164">
        <v>45805</v>
      </c>
      <c r="C370" t="s">
        <v>141</v>
      </c>
      <c r="D370">
        <v>1</v>
      </c>
      <c r="E370">
        <v>380000</v>
      </c>
      <c r="F370">
        <v>13915467</v>
      </c>
      <c r="G370">
        <v>2000</v>
      </c>
      <c r="H370" t="str">
        <f>IF(C370=C369,"",COUNTIF(G370,1000)+COUNTIF(G370,2000))</f>
        <v/>
      </c>
      <c r="I370" t="str">
        <f>IF(H370=0,"",IF(C370=C369,"",SUM($H$3:H370)))</f>
        <v/>
      </c>
    </row>
    <row r="371" spans="2:9">
      <c r="B371" s="164">
        <v>45805</v>
      </c>
      <c r="C371" t="s">
        <v>141</v>
      </c>
      <c r="D371">
        <v>1</v>
      </c>
      <c r="E371">
        <v>380000</v>
      </c>
      <c r="F371">
        <v>13915467</v>
      </c>
      <c r="G371">
        <v>2000</v>
      </c>
      <c r="H371" t="str">
        <f>IF(C371=C370,"",COUNTIF(G371,1000)+COUNTIF(G371,2000))</f>
        <v/>
      </c>
      <c r="I371" t="str">
        <f>IF(H371=0,"",IF(C371=C370,"",SUM($H$3:H371)))</f>
        <v/>
      </c>
    </row>
    <row r="372" spans="2:9">
      <c r="B372" s="164">
        <v>45805</v>
      </c>
      <c r="C372" t="s">
        <v>141</v>
      </c>
      <c r="D372">
        <v>1</v>
      </c>
      <c r="E372">
        <v>380000</v>
      </c>
      <c r="F372">
        <v>13915467</v>
      </c>
      <c r="G372">
        <v>2000</v>
      </c>
      <c r="H372" t="str">
        <f>IF(C372=C371,"",COUNTIF(G372,1000)+COUNTIF(G372,2000))</f>
        <v/>
      </c>
      <c r="I372" t="str">
        <f>IF(H372=0,"",IF(C372=C371,"",SUM($H$3:H372)))</f>
        <v/>
      </c>
    </row>
    <row r="373" spans="2:9">
      <c r="B373" s="164">
        <v>45805</v>
      </c>
      <c r="C373" t="s">
        <v>141</v>
      </c>
      <c r="D373">
        <v>1</v>
      </c>
      <c r="E373">
        <v>380000</v>
      </c>
      <c r="F373">
        <v>13915467</v>
      </c>
      <c r="G373">
        <v>2000</v>
      </c>
      <c r="H373" t="str">
        <f>IF(C373=C372,"",COUNTIF(G373,1000)+COUNTIF(G373,2000))</f>
        <v/>
      </c>
      <c r="I373" t="str">
        <f>IF(H373=0,"",IF(C373=C372,"",SUM($H$3:H373)))</f>
        <v/>
      </c>
    </row>
    <row r="374" spans="2:9">
      <c r="B374" s="164">
        <v>45805</v>
      </c>
      <c r="C374" t="s">
        <v>141</v>
      </c>
      <c r="D374">
        <v>1</v>
      </c>
      <c r="E374">
        <v>380000</v>
      </c>
      <c r="F374">
        <v>13915467</v>
      </c>
      <c r="G374">
        <v>2000</v>
      </c>
      <c r="H374" t="str">
        <f>IF(C374=C373,"",COUNTIF(G374,1000)+COUNTIF(G374,2000))</f>
        <v/>
      </c>
      <c r="I374" t="str">
        <f>IF(H374=0,"",IF(C374=C373,"",SUM($H$3:H374)))</f>
        <v/>
      </c>
    </row>
    <row r="375" spans="2:9">
      <c r="B375" s="164">
        <v>45805</v>
      </c>
      <c r="C375" t="s">
        <v>141</v>
      </c>
      <c r="D375">
        <v>1</v>
      </c>
      <c r="E375">
        <v>380000</v>
      </c>
      <c r="F375">
        <v>13915467</v>
      </c>
      <c r="G375">
        <v>2000</v>
      </c>
      <c r="H375" t="str">
        <f>IF(C375=C374,"",COUNTIF(G375,1000)+COUNTIF(G375,2000))</f>
        <v/>
      </c>
      <c r="I375" t="str">
        <f>IF(H375=0,"",IF(C375=C374,"",SUM($H$3:H375)))</f>
        <v/>
      </c>
    </row>
    <row r="376" spans="2:9">
      <c r="B376" s="164">
        <v>45805</v>
      </c>
      <c r="C376" t="s">
        <v>141</v>
      </c>
      <c r="D376">
        <v>1</v>
      </c>
      <c r="E376">
        <v>380000</v>
      </c>
      <c r="F376">
        <v>13915467</v>
      </c>
      <c r="G376">
        <v>2000</v>
      </c>
      <c r="H376" t="str">
        <f>IF(C376=C375,"",COUNTIF(G376,1000)+COUNTIF(G376,2000))</f>
        <v/>
      </c>
      <c r="I376" t="str">
        <f>IF(H376=0,"",IF(C376=C375,"",SUM($H$3:H376)))</f>
        <v/>
      </c>
    </row>
    <row r="377" spans="2:9">
      <c r="B377" s="164">
        <v>45805</v>
      </c>
      <c r="C377" t="s">
        <v>141</v>
      </c>
      <c r="D377">
        <v>1</v>
      </c>
      <c r="E377">
        <v>380000</v>
      </c>
      <c r="F377">
        <v>13915467</v>
      </c>
      <c r="G377">
        <v>2000</v>
      </c>
      <c r="H377" t="str">
        <f>IF(C377=C376,"",COUNTIF(G377,1000)+COUNTIF(G377,2000))</f>
        <v/>
      </c>
      <c r="I377" t="str">
        <f>IF(H377=0,"",IF(C377=C376,"",SUM($H$3:H377)))</f>
        <v/>
      </c>
    </row>
    <row r="378" spans="2:9">
      <c r="B378" s="164">
        <v>45805</v>
      </c>
      <c r="C378" t="s">
        <v>141</v>
      </c>
      <c r="D378">
        <v>1</v>
      </c>
      <c r="E378">
        <v>380000</v>
      </c>
      <c r="F378">
        <v>13915467</v>
      </c>
      <c r="G378">
        <v>2000</v>
      </c>
      <c r="H378" t="str">
        <f>IF(C378=C377,"",COUNTIF(G378,1000)+COUNTIF(G378,2000))</f>
        <v/>
      </c>
      <c r="I378" t="str">
        <f>IF(H378=0,"",IF(C378=C377,"",SUM($H$3:H378)))</f>
        <v/>
      </c>
    </row>
    <row r="379" spans="2:9">
      <c r="B379" s="164">
        <v>45805</v>
      </c>
      <c r="C379" t="s">
        <v>141</v>
      </c>
      <c r="D379">
        <v>1</v>
      </c>
      <c r="E379">
        <v>380000</v>
      </c>
      <c r="F379">
        <v>13915467</v>
      </c>
      <c r="G379">
        <v>2000</v>
      </c>
      <c r="H379" t="str">
        <f>IF(C379=C378,"",COUNTIF(G379,1000)+COUNTIF(G379,2000))</f>
        <v/>
      </c>
      <c r="I379" t="str">
        <f>IF(H379=0,"",IF(C379=C378,"",SUM($H$3:H379)))</f>
        <v/>
      </c>
    </row>
    <row r="380" spans="2:9">
      <c r="B380" s="164">
        <v>45805</v>
      </c>
      <c r="C380" t="s">
        <v>142</v>
      </c>
      <c r="D380">
        <v>1</v>
      </c>
      <c r="E380">
        <v>380000</v>
      </c>
      <c r="F380">
        <v>13915467</v>
      </c>
      <c r="G380">
        <v>2000</v>
      </c>
      <c r="H380">
        <f>IF(C380=C379,"",COUNTIF(G380,1000)+COUNTIF(G380,2000))</f>
        <v>1</v>
      </c>
      <c r="I380">
        <f>IF(H380=0,"",IF(C380=C379,"",SUM($H$3:H380)))</f>
        <v>9</v>
      </c>
    </row>
    <row r="381" spans="2:9">
      <c r="B381" s="164">
        <v>45805</v>
      </c>
      <c r="C381" t="s">
        <v>142</v>
      </c>
      <c r="D381">
        <v>1</v>
      </c>
      <c r="E381">
        <v>380000</v>
      </c>
      <c r="F381">
        <v>13915467</v>
      </c>
      <c r="G381">
        <v>2000</v>
      </c>
      <c r="H381" t="str">
        <f>IF(C381=C380,"",COUNTIF(G381,1000)+COUNTIF(G381,2000))</f>
        <v/>
      </c>
      <c r="I381" t="str">
        <f>IF(H381=0,"",IF(C381=C380,"",SUM($H$3:H381)))</f>
        <v/>
      </c>
    </row>
    <row r="382" spans="2:9">
      <c r="B382" s="164">
        <v>45805</v>
      </c>
      <c r="C382" t="s">
        <v>142</v>
      </c>
      <c r="D382">
        <v>1</v>
      </c>
      <c r="E382">
        <v>380000</v>
      </c>
      <c r="F382">
        <v>13915467</v>
      </c>
      <c r="G382">
        <v>2000</v>
      </c>
      <c r="H382" t="str">
        <f>IF(C382=C381,"",COUNTIF(G382,1000)+COUNTIF(G382,2000))</f>
        <v/>
      </c>
      <c r="I382" t="str">
        <f>IF(H382=0,"",IF(C382=C381,"",SUM($H$3:H382)))</f>
        <v/>
      </c>
    </row>
    <row r="383" spans="2:9">
      <c r="B383" s="164">
        <v>45805</v>
      </c>
      <c r="C383" t="s">
        <v>142</v>
      </c>
      <c r="D383">
        <v>1</v>
      </c>
      <c r="E383">
        <v>380000</v>
      </c>
      <c r="F383">
        <v>13915467</v>
      </c>
      <c r="G383">
        <v>2000</v>
      </c>
      <c r="H383" t="str">
        <f>IF(C383=C382,"",COUNTIF(G383,1000)+COUNTIF(G383,2000))</f>
        <v/>
      </c>
      <c r="I383" t="str">
        <f>IF(H383=0,"",IF(C383=C382,"",SUM($H$3:H383)))</f>
        <v/>
      </c>
    </row>
    <row r="384" spans="2:9">
      <c r="B384" s="164">
        <v>45805</v>
      </c>
      <c r="C384" t="s">
        <v>142</v>
      </c>
      <c r="D384">
        <v>1</v>
      </c>
      <c r="E384">
        <v>380000</v>
      </c>
      <c r="F384">
        <v>13915467</v>
      </c>
      <c r="G384">
        <v>2000</v>
      </c>
      <c r="H384" t="str">
        <f>IF(C384=C383,"",COUNTIF(G384,1000)+COUNTIF(G384,2000))</f>
        <v/>
      </c>
      <c r="I384" t="str">
        <f>IF(H384=0,"",IF(C384=C383,"",SUM($H$3:H384)))</f>
        <v/>
      </c>
    </row>
    <row r="385" spans="2:9">
      <c r="B385" s="164">
        <v>45805</v>
      </c>
      <c r="C385" t="s">
        <v>142</v>
      </c>
      <c r="D385">
        <v>1</v>
      </c>
      <c r="E385">
        <v>380000</v>
      </c>
      <c r="F385">
        <v>13915467</v>
      </c>
      <c r="G385">
        <v>2000</v>
      </c>
      <c r="H385" t="str">
        <f>IF(C385=C384,"",COUNTIF(G385,1000)+COUNTIF(G385,2000))</f>
        <v/>
      </c>
      <c r="I385" t="str">
        <f>IF(H385=0,"",IF(C385=C384,"",SUM($H$3:H385)))</f>
        <v/>
      </c>
    </row>
    <row r="386" spans="2:9">
      <c r="B386" s="164">
        <v>45805</v>
      </c>
      <c r="C386" t="s">
        <v>142</v>
      </c>
      <c r="D386">
        <v>1</v>
      </c>
      <c r="E386">
        <v>380000</v>
      </c>
      <c r="F386">
        <v>13915467</v>
      </c>
      <c r="G386">
        <v>2000</v>
      </c>
      <c r="H386" t="str">
        <f>IF(C386=C385,"",COUNTIF(G386,1000)+COUNTIF(G386,2000))</f>
        <v/>
      </c>
      <c r="I386" t="str">
        <f>IF(H386=0,"",IF(C386=C385,"",SUM($H$3:H386)))</f>
        <v/>
      </c>
    </row>
    <row r="387" spans="2:9">
      <c r="B387" s="164">
        <v>45805</v>
      </c>
      <c r="C387" t="s">
        <v>142</v>
      </c>
      <c r="D387">
        <v>1</v>
      </c>
      <c r="E387">
        <v>380000</v>
      </c>
      <c r="F387">
        <v>13915467</v>
      </c>
      <c r="G387">
        <v>2000</v>
      </c>
      <c r="H387" t="str">
        <f>IF(C387=C386,"",COUNTIF(G387,1000)+COUNTIF(G387,2000))</f>
        <v/>
      </c>
      <c r="I387" t="str">
        <f>IF(H387=0,"",IF(C387=C386,"",SUM($H$3:H387)))</f>
        <v/>
      </c>
    </row>
    <row r="388" spans="2:9">
      <c r="B388" s="164">
        <v>45805</v>
      </c>
      <c r="C388" t="s">
        <v>142</v>
      </c>
      <c r="D388">
        <v>1</v>
      </c>
      <c r="E388">
        <v>380000</v>
      </c>
      <c r="F388">
        <v>13915467</v>
      </c>
      <c r="G388">
        <v>2000</v>
      </c>
      <c r="H388" t="str">
        <f>IF(C388=C387,"",COUNTIF(G388,1000)+COUNTIF(G388,2000))</f>
        <v/>
      </c>
      <c r="I388" t="str">
        <f>IF(H388=0,"",IF(C388=C387,"",SUM($H$3:H388)))</f>
        <v/>
      </c>
    </row>
    <row r="389" spans="2:9">
      <c r="B389" s="164">
        <v>45805</v>
      </c>
      <c r="C389" t="s">
        <v>142</v>
      </c>
      <c r="D389">
        <v>1</v>
      </c>
      <c r="E389">
        <v>380000</v>
      </c>
      <c r="F389">
        <v>13915467</v>
      </c>
      <c r="G389">
        <v>2000</v>
      </c>
      <c r="H389" t="str">
        <f>IF(C389=C388,"",COUNTIF(G389,1000)+COUNTIF(G389,2000))</f>
        <v/>
      </c>
      <c r="I389" t="str">
        <f>IF(H389=0,"",IF(C389=C388,"",SUM($H$3:H389)))</f>
        <v/>
      </c>
    </row>
    <row r="390" spans="2:9">
      <c r="B390" s="164">
        <v>45805</v>
      </c>
      <c r="C390" t="s">
        <v>142</v>
      </c>
      <c r="D390">
        <v>1</v>
      </c>
      <c r="E390">
        <v>380000</v>
      </c>
      <c r="F390">
        <v>13915467</v>
      </c>
      <c r="G390">
        <v>2000</v>
      </c>
      <c r="H390" t="str">
        <f>IF(C390=C389,"",COUNTIF(G390,1000)+COUNTIF(G390,2000))</f>
        <v/>
      </c>
      <c r="I390" t="str">
        <f>IF(H390=0,"",IF(C390=C389,"",SUM($H$3:H390)))</f>
        <v/>
      </c>
    </row>
    <row r="391" spans="2:9">
      <c r="B391" s="164">
        <v>45805</v>
      </c>
      <c r="C391" t="s">
        <v>142</v>
      </c>
      <c r="D391">
        <v>1</v>
      </c>
      <c r="E391">
        <v>380000</v>
      </c>
      <c r="F391">
        <v>13915467</v>
      </c>
      <c r="G391">
        <v>2000</v>
      </c>
      <c r="H391" t="str">
        <f>IF(C391=C390,"",COUNTIF(G391,1000)+COUNTIF(G391,2000))</f>
        <v/>
      </c>
      <c r="I391" t="str">
        <f>IF(H391=0,"",IF(C391=C390,"",SUM($H$3:H391)))</f>
        <v/>
      </c>
    </row>
    <row r="392" spans="2:9">
      <c r="B392" s="164">
        <v>45805</v>
      </c>
      <c r="C392" t="s">
        <v>142</v>
      </c>
      <c r="D392">
        <v>1</v>
      </c>
      <c r="E392">
        <v>380000</v>
      </c>
      <c r="F392">
        <v>13915467</v>
      </c>
      <c r="G392">
        <v>2000</v>
      </c>
      <c r="H392" t="str">
        <f>IF(C392=C391,"",COUNTIF(G392,1000)+COUNTIF(G392,2000))</f>
        <v/>
      </c>
      <c r="I392" t="str">
        <f>IF(H392=0,"",IF(C392=C391,"",SUM($H$3:H392)))</f>
        <v/>
      </c>
    </row>
    <row r="393" spans="2:9">
      <c r="B393" s="164">
        <v>45805</v>
      </c>
      <c r="C393" t="s">
        <v>142</v>
      </c>
      <c r="D393">
        <v>1</v>
      </c>
      <c r="E393">
        <v>380000</v>
      </c>
      <c r="F393">
        <v>13915467</v>
      </c>
      <c r="G393">
        <v>2000</v>
      </c>
      <c r="H393" t="str">
        <f>IF(C393=C392,"",COUNTIF(G393,1000)+COUNTIF(G393,2000))</f>
        <v/>
      </c>
      <c r="I393" t="str">
        <f>IF(H393=0,"",IF(C393=C392,"",SUM($H$3:H393)))</f>
        <v/>
      </c>
    </row>
    <row r="394" spans="2:9">
      <c r="B394" s="164">
        <v>45805</v>
      </c>
      <c r="C394" t="s">
        <v>142</v>
      </c>
      <c r="D394">
        <v>1</v>
      </c>
      <c r="E394">
        <v>380000</v>
      </c>
      <c r="F394">
        <v>13915467</v>
      </c>
      <c r="G394">
        <v>2000</v>
      </c>
      <c r="H394" t="str">
        <f>IF(C394=C393,"",COUNTIF(G394,1000)+COUNTIF(G394,2000))</f>
        <v/>
      </c>
      <c r="I394" t="str">
        <f>IF(H394=0,"",IF(C394=C393,"",SUM($H$3:H394)))</f>
        <v/>
      </c>
    </row>
    <row r="395" spans="2:9">
      <c r="B395" s="164">
        <v>45805</v>
      </c>
      <c r="C395" t="s">
        <v>142</v>
      </c>
      <c r="D395">
        <v>1</v>
      </c>
      <c r="E395">
        <v>380000</v>
      </c>
      <c r="F395">
        <v>13915467</v>
      </c>
      <c r="G395">
        <v>2000</v>
      </c>
      <c r="H395" t="str">
        <f>IF(C395=C394,"",COUNTIF(G395,1000)+COUNTIF(G395,2000))</f>
        <v/>
      </c>
      <c r="I395" t="str">
        <f>IF(H395=0,"",IF(C395=C394,"",SUM($H$3:H395)))</f>
        <v/>
      </c>
    </row>
    <row r="396" spans="2:9">
      <c r="B396" s="164">
        <v>45805</v>
      </c>
      <c r="C396" t="s">
        <v>142</v>
      </c>
      <c r="D396">
        <v>1</v>
      </c>
      <c r="E396">
        <v>380000</v>
      </c>
      <c r="F396">
        <v>13915467</v>
      </c>
      <c r="G396">
        <v>2000</v>
      </c>
      <c r="H396" t="str">
        <f>IF(C396=C395,"",COUNTIF(G396,1000)+COUNTIF(G396,2000))</f>
        <v/>
      </c>
      <c r="I396" t="str">
        <f>IF(H396=0,"",IF(C396=C395,"",SUM($H$3:H396)))</f>
        <v/>
      </c>
    </row>
    <row r="397" spans="2:9">
      <c r="B397" s="164">
        <v>45805</v>
      </c>
      <c r="C397" t="s">
        <v>142</v>
      </c>
      <c r="D397">
        <v>1</v>
      </c>
      <c r="E397">
        <v>380000</v>
      </c>
      <c r="F397">
        <v>13915467</v>
      </c>
      <c r="G397">
        <v>2000</v>
      </c>
      <c r="H397" t="str">
        <f>IF(C397=C396,"",COUNTIF(G397,1000)+COUNTIF(G397,2000))</f>
        <v/>
      </c>
      <c r="I397" t="str">
        <f>IF(H397=0,"",IF(C397=C396,"",SUM($H$3:H397)))</f>
        <v/>
      </c>
    </row>
    <row r="398" spans="2:9">
      <c r="B398" s="164">
        <v>45805</v>
      </c>
      <c r="C398" t="s">
        <v>142</v>
      </c>
      <c r="D398">
        <v>1</v>
      </c>
      <c r="E398">
        <v>380000</v>
      </c>
      <c r="F398">
        <v>13915467</v>
      </c>
      <c r="G398">
        <v>2000</v>
      </c>
      <c r="H398" t="str">
        <f>IF(C398=C397,"",COUNTIF(G398,1000)+COUNTIF(G398,2000))</f>
        <v/>
      </c>
      <c r="I398" t="str">
        <f>IF(H398=0,"",IF(C398=C397,"",SUM($H$3:H398)))</f>
        <v/>
      </c>
    </row>
    <row r="399" spans="2:9">
      <c r="B399" s="164">
        <v>45805</v>
      </c>
      <c r="C399" t="s">
        <v>142</v>
      </c>
      <c r="D399">
        <v>1</v>
      </c>
      <c r="E399">
        <v>380000</v>
      </c>
      <c r="F399">
        <v>13915467</v>
      </c>
      <c r="G399">
        <v>2000</v>
      </c>
      <c r="H399" t="str">
        <f>IF(C399=C398,"",COUNTIF(G399,1000)+COUNTIF(G399,2000))</f>
        <v/>
      </c>
      <c r="I399" t="str">
        <f>IF(H399=0,"",IF(C399=C398,"",SUM($H$3:H399)))</f>
        <v/>
      </c>
    </row>
    <row r="400" spans="2:9">
      <c r="B400" s="164">
        <v>45805</v>
      </c>
      <c r="C400" t="s">
        <v>142</v>
      </c>
      <c r="D400">
        <v>1</v>
      </c>
      <c r="E400">
        <v>380000</v>
      </c>
      <c r="F400">
        <v>13915467</v>
      </c>
      <c r="G400">
        <v>2000</v>
      </c>
      <c r="H400" t="str">
        <f>IF(C400=C399,"",COUNTIF(G400,1000)+COUNTIF(G400,2000))</f>
        <v/>
      </c>
      <c r="I400" t="str">
        <f>IF(H400=0,"",IF(C400=C399,"",SUM($H$3:H400)))</f>
        <v/>
      </c>
    </row>
    <row r="401" spans="2:9">
      <c r="B401" s="164">
        <v>45805</v>
      </c>
      <c r="C401" t="s">
        <v>142</v>
      </c>
      <c r="D401">
        <v>1</v>
      </c>
      <c r="E401">
        <v>380000</v>
      </c>
      <c r="F401">
        <v>13915467</v>
      </c>
      <c r="G401">
        <v>2000</v>
      </c>
      <c r="H401" t="str">
        <f>IF(C401=C400,"",COUNTIF(G401,1000)+COUNTIF(G401,2000))</f>
        <v/>
      </c>
      <c r="I401" t="str">
        <f>IF(H401=0,"",IF(C401=C400,"",SUM($H$3:H401)))</f>
        <v/>
      </c>
    </row>
    <row r="402" spans="2:9">
      <c r="B402" s="164">
        <v>45805</v>
      </c>
      <c r="C402" t="s">
        <v>142</v>
      </c>
      <c r="D402">
        <v>1</v>
      </c>
      <c r="E402">
        <v>380000</v>
      </c>
      <c r="F402">
        <v>13915467</v>
      </c>
      <c r="G402">
        <v>2000</v>
      </c>
      <c r="H402" t="str">
        <f>IF(C402=C401,"",COUNTIF(G402,1000)+COUNTIF(G402,2000))</f>
        <v/>
      </c>
      <c r="I402" t="str">
        <f>IF(H402=0,"",IF(C402=C401,"",SUM($H$3:H402)))</f>
        <v/>
      </c>
    </row>
    <row r="403" spans="2:9">
      <c r="B403" s="164">
        <v>45805</v>
      </c>
      <c r="C403" t="s">
        <v>142</v>
      </c>
      <c r="D403">
        <v>1</v>
      </c>
      <c r="E403">
        <v>380000</v>
      </c>
      <c r="F403">
        <v>13915467</v>
      </c>
      <c r="G403">
        <v>2000</v>
      </c>
      <c r="H403" t="str">
        <f>IF(C403=C402,"",COUNTIF(G403,1000)+COUNTIF(G403,2000))</f>
        <v/>
      </c>
      <c r="I403" t="str">
        <f>IF(H403=0,"",IF(C403=C402,"",SUM($H$3:H403)))</f>
        <v/>
      </c>
    </row>
    <row r="404" spans="2:9">
      <c r="B404" s="164">
        <v>45805</v>
      </c>
      <c r="C404" t="s">
        <v>142</v>
      </c>
      <c r="D404">
        <v>1</v>
      </c>
      <c r="E404">
        <v>380000</v>
      </c>
      <c r="F404">
        <v>13915467</v>
      </c>
      <c r="G404">
        <v>2000</v>
      </c>
      <c r="H404" t="str">
        <f>IF(C404=C403,"",COUNTIF(G404,1000)+COUNTIF(G404,2000))</f>
        <v/>
      </c>
      <c r="I404" t="str">
        <f>IF(H404=0,"",IF(C404=C403,"",SUM($H$3:H404)))</f>
        <v/>
      </c>
    </row>
    <row r="405" spans="2:9">
      <c r="B405" s="164">
        <v>45805</v>
      </c>
      <c r="C405" t="s">
        <v>142</v>
      </c>
      <c r="D405">
        <v>1</v>
      </c>
      <c r="E405">
        <v>380000</v>
      </c>
      <c r="F405">
        <v>13915467</v>
      </c>
      <c r="G405">
        <v>2000</v>
      </c>
      <c r="H405" t="str">
        <f>IF(C405=C404,"",COUNTIF(G405,1000)+COUNTIF(G405,2000))</f>
        <v/>
      </c>
      <c r="I405" t="str">
        <f>IF(H405=0,"",IF(C405=C404,"",SUM($H$3:H405)))</f>
        <v/>
      </c>
    </row>
    <row r="406" spans="2:9">
      <c r="B406" s="164">
        <v>45805</v>
      </c>
      <c r="C406" t="s">
        <v>142</v>
      </c>
      <c r="D406">
        <v>1</v>
      </c>
      <c r="E406">
        <v>380000</v>
      </c>
      <c r="F406">
        <v>13915467</v>
      </c>
      <c r="G406">
        <v>2000</v>
      </c>
      <c r="H406" t="str">
        <f>IF(C406=C405,"",COUNTIF(G406,1000)+COUNTIF(G406,2000))</f>
        <v/>
      </c>
      <c r="I406" t="str">
        <f>IF(H406=0,"",IF(C406=C405,"",SUM($H$3:H406)))</f>
        <v/>
      </c>
    </row>
    <row r="407" spans="2:9">
      <c r="B407" s="164">
        <v>45805</v>
      </c>
      <c r="C407" t="s">
        <v>142</v>
      </c>
      <c r="D407">
        <v>1</v>
      </c>
      <c r="E407">
        <v>380000</v>
      </c>
      <c r="F407">
        <v>13915467</v>
      </c>
      <c r="G407">
        <v>2000</v>
      </c>
      <c r="H407" t="str">
        <f>IF(C407=C406,"",COUNTIF(G407,1000)+COUNTIF(G407,2000))</f>
        <v/>
      </c>
      <c r="I407" t="str">
        <f>IF(H407=0,"",IF(C407=C406,"",SUM($H$3:H407)))</f>
        <v/>
      </c>
    </row>
    <row r="408" spans="2:9">
      <c r="B408" s="164">
        <v>45805</v>
      </c>
      <c r="C408" t="s">
        <v>142</v>
      </c>
      <c r="D408">
        <v>1</v>
      </c>
      <c r="E408">
        <v>380000</v>
      </c>
      <c r="F408">
        <v>13915467</v>
      </c>
      <c r="G408">
        <v>2000</v>
      </c>
      <c r="H408" t="str">
        <f>IF(C408=C407,"",COUNTIF(G408,1000)+COUNTIF(G408,2000))</f>
        <v/>
      </c>
      <c r="I408" t="str">
        <f>IF(H408=0,"",IF(C408=C407,"",SUM($H$3:H408)))</f>
        <v/>
      </c>
    </row>
    <row r="409" spans="2:9">
      <c r="B409" s="164">
        <v>45805</v>
      </c>
      <c r="C409" t="s">
        <v>142</v>
      </c>
      <c r="D409">
        <v>1</v>
      </c>
      <c r="E409">
        <v>380000</v>
      </c>
      <c r="F409">
        <v>13915467</v>
      </c>
      <c r="G409">
        <v>2000</v>
      </c>
      <c r="H409" t="str">
        <f>IF(C409=C408,"",COUNTIF(G409,1000)+COUNTIF(G409,2000))</f>
        <v/>
      </c>
      <c r="I409" t="str">
        <f>IF(H409=0,"",IF(C409=C408,"",SUM($H$3:H409)))</f>
        <v/>
      </c>
    </row>
    <row r="410" spans="2:9">
      <c r="B410" s="164">
        <v>45805</v>
      </c>
      <c r="C410" t="s">
        <v>142</v>
      </c>
      <c r="D410">
        <v>1</v>
      </c>
      <c r="E410">
        <v>380000</v>
      </c>
      <c r="F410">
        <v>13915467</v>
      </c>
      <c r="G410">
        <v>2000</v>
      </c>
      <c r="H410" t="str">
        <f>IF(C410=C409,"",COUNTIF(G410,1000)+COUNTIF(G410,2000))</f>
        <v/>
      </c>
      <c r="I410" t="str">
        <f>IF(H410=0,"",IF(C410=C409,"",SUM($H$3:H410)))</f>
        <v/>
      </c>
    </row>
    <row r="411" spans="2:9">
      <c r="B411" s="164">
        <v>45805</v>
      </c>
      <c r="C411" t="s">
        <v>142</v>
      </c>
      <c r="D411">
        <v>1</v>
      </c>
      <c r="E411">
        <v>380000</v>
      </c>
      <c r="F411">
        <v>13915467</v>
      </c>
      <c r="G411">
        <v>2000</v>
      </c>
      <c r="H411" t="str">
        <f>IF(C411=C410,"",COUNTIF(G411,1000)+COUNTIF(G411,2000))</f>
        <v/>
      </c>
      <c r="I411" t="str">
        <f>IF(H411=0,"",IF(C411=C410,"",SUM($H$3:H411)))</f>
        <v/>
      </c>
    </row>
    <row r="412" spans="2:9">
      <c r="B412" s="164">
        <v>45805</v>
      </c>
      <c r="C412" t="s">
        <v>136</v>
      </c>
      <c r="D412">
        <v>3</v>
      </c>
      <c r="E412">
        <v>500000</v>
      </c>
      <c r="F412">
        <v>19230256</v>
      </c>
      <c r="G412">
        <v>1000</v>
      </c>
      <c r="H412">
        <f>IF(C412=C411,"",COUNTIF(G412,1000)+COUNTIF(G412,2000))</f>
        <v>1</v>
      </c>
      <c r="I412">
        <f>IF(H412=0,"",IF(C412=C411,"",SUM($H$3:H412)))</f>
        <v>10</v>
      </c>
    </row>
    <row r="413" spans="2:9">
      <c r="B413" s="164">
        <v>45805</v>
      </c>
      <c r="C413" t="s">
        <v>136</v>
      </c>
      <c r="D413">
        <v>3</v>
      </c>
      <c r="E413">
        <v>500000</v>
      </c>
      <c r="F413">
        <v>19230256</v>
      </c>
      <c r="G413">
        <v>1000</v>
      </c>
      <c r="H413" t="str">
        <f>IF(C413=C412,"",COUNTIF(G413,1000)+COUNTIF(G413,2000))</f>
        <v/>
      </c>
      <c r="I413" t="str">
        <f>IF(H413=0,"",IF(C413=C412,"",SUM($H$3:H413)))</f>
        <v/>
      </c>
    </row>
    <row r="414" spans="2:9">
      <c r="B414" s="164">
        <v>45805</v>
      </c>
      <c r="C414" t="s">
        <v>136</v>
      </c>
      <c r="D414">
        <v>3</v>
      </c>
      <c r="E414">
        <v>500000</v>
      </c>
      <c r="F414">
        <v>19230256</v>
      </c>
      <c r="G414">
        <v>1000</v>
      </c>
      <c r="H414" t="str">
        <f>IF(C414=C413,"",COUNTIF(G414,1000)+COUNTIF(G414,2000))</f>
        <v/>
      </c>
      <c r="I414" t="str">
        <f>IF(H414=0,"",IF(C414=C413,"",SUM($H$3:H414)))</f>
        <v/>
      </c>
    </row>
    <row r="415" spans="2:9">
      <c r="B415" s="164">
        <v>45805</v>
      </c>
      <c r="C415" t="s">
        <v>136</v>
      </c>
      <c r="D415">
        <v>3</v>
      </c>
      <c r="E415">
        <v>500000</v>
      </c>
      <c r="F415">
        <v>19230256</v>
      </c>
      <c r="G415">
        <v>1000</v>
      </c>
      <c r="H415" t="str">
        <f>IF(C415=C414,"",COUNTIF(G415,1000)+COUNTIF(G415,2000))</f>
        <v/>
      </c>
      <c r="I415" t="str">
        <f>IF(H415=0,"",IF(C415=C414,"",SUM($H$3:H415)))</f>
        <v/>
      </c>
    </row>
    <row r="416" spans="2:9">
      <c r="B416" s="164">
        <v>45805</v>
      </c>
      <c r="C416" t="s">
        <v>136</v>
      </c>
      <c r="D416">
        <v>3</v>
      </c>
      <c r="E416">
        <v>500000</v>
      </c>
      <c r="F416">
        <v>19230256</v>
      </c>
      <c r="G416">
        <v>1000</v>
      </c>
      <c r="H416" t="str">
        <f>IF(C416=C415,"",COUNTIF(G416,1000)+COUNTIF(G416,2000))</f>
        <v/>
      </c>
      <c r="I416" t="str">
        <f>IF(H416=0,"",IF(C416=C415,"",SUM($H$3:H416)))</f>
        <v/>
      </c>
    </row>
    <row r="417" spans="2:9">
      <c r="B417" s="164">
        <v>45805</v>
      </c>
      <c r="C417" t="s">
        <v>136</v>
      </c>
      <c r="D417">
        <v>3</v>
      </c>
      <c r="E417">
        <v>500000</v>
      </c>
      <c r="F417">
        <v>19230256</v>
      </c>
      <c r="G417">
        <v>1000</v>
      </c>
      <c r="H417" t="str">
        <f>IF(C417=C416,"",COUNTIF(G417,1000)+COUNTIF(G417,2000))</f>
        <v/>
      </c>
      <c r="I417" t="str">
        <f>IF(H417=0,"",IF(C417=C416,"",SUM($H$3:H417)))</f>
        <v/>
      </c>
    </row>
    <row r="418" spans="2:9">
      <c r="B418" s="164">
        <v>45805</v>
      </c>
      <c r="C418" t="s">
        <v>136</v>
      </c>
      <c r="D418">
        <v>3</v>
      </c>
      <c r="E418">
        <v>500000</v>
      </c>
      <c r="F418">
        <v>19230256</v>
      </c>
      <c r="G418">
        <v>1000</v>
      </c>
      <c r="H418" t="str">
        <f>IF(C418=C417,"",COUNTIF(G418,1000)+COUNTIF(G418,2000))</f>
        <v/>
      </c>
      <c r="I418" t="str">
        <f>IF(H418=0,"",IF(C418=C417,"",SUM($H$3:H418)))</f>
        <v/>
      </c>
    </row>
    <row r="419" spans="2:9">
      <c r="B419" s="164">
        <v>45805</v>
      </c>
      <c r="C419" t="s">
        <v>136</v>
      </c>
      <c r="D419">
        <v>3</v>
      </c>
      <c r="E419">
        <v>500000</v>
      </c>
      <c r="F419">
        <v>19230256</v>
      </c>
      <c r="G419">
        <v>1000</v>
      </c>
      <c r="H419" t="str">
        <f>IF(C419=C418,"",COUNTIF(G419,1000)+COUNTIF(G419,2000))</f>
        <v/>
      </c>
      <c r="I419" t="str">
        <f>IF(H419=0,"",IF(C419=C418,"",SUM($H$3:H419)))</f>
        <v/>
      </c>
    </row>
    <row r="420" spans="2:9">
      <c r="B420" s="164">
        <v>45805</v>
      </c>
      <c r="C420" t="s">
        <v>136</v>
      </c>
      <c r="D420">
        <v>3</v>
      </c>
      <c r="E420">
        <v>500000</v>
      </c>
      <c r="F420">
        <v>19230256</v>
      </c>
      <c r="G420">
        <v>1000</v>
      </c>
      <c r="H420" t="str">
        <f>IF(C420=C419,"",COUNTIF(G420,1000)+COUNTIF(G420,2000))</f>
        <v/>
      </c>
      <c r="I420" t="str">
        <f>IF(H420=0,"",IF(C420=C419,"",SUM($H$3:H420)))</f>
        <v/>
      </c>
    </row>
    <row r="421" spans="2:9">
      <c r="B421" s="164">
        <v>45805</v>
      </c>
      <c r="C421" t="s">
        <v>136</v>
      </c>
      <c r="D421">
        <v>3</v>
      </c>
      <c r="E421">
        <v>500000</v>
      </c>
      <c r="F421">
        <v>19230256</v>
      </c>
      <c r="G421">
        <v>1000</v>
      </c>
      <c r="H421" t="str">
        <f>IF(C421=C420,"",COUNTIF(G421,1000)+COUNTIF(G421,2000))</f>
        <v/>
      </c>
      <c r="I421" t="str">
        <f>IF(H421=0,"",IF(C421=C420,"",SUM($H$3:H421)))</f>
        <v/>
      </c>
    </row>
    <row r="422" spans="2:9">
      <c r="B422" s="164">
        <v>45805</v>
      </c>
      <c r="C422" t="s">
        <v>136</v>
      </c>
      <c r="D422">
        <v>3</v>
      </c>
      <c r="E422">
        <v>500000</v>
      </c>
      <c r="F422">
        <v>19230256</v>
      </c>
      <c r="G422">
        <v>1000</v>
      </c>
      <c r="H422" t="str">
        <f>IF(C422=C421,"",COUNTIF(G422,1000)+COUNTIF(G422,2000))</f>
        <v/>
      </c>
      <c r="I422" t="str">
        <f>IF(H422=0,"",IF(C422=C421,"",SUM($H$3:H422)))</f>
        <v/>
      </c>
    </row>
    <row r="423" spans="2:9">
      <c r="B423" s="164">
        <v>45805</v>
      </c>
      <c r="C423" t="s">
        <v>136</v>
      </c>
      <c r="D423">
        <v>3</v>
      </c>
      <c r="E423">
        <v>500000</v>
      </c>
      <c r="F423">
        <v>19230256</v>
      </c>
      <c r="G423">
        <v>1000</v>
      </c>
      <c r="H423" t="str">
        <f>IF(C423=C422,"",COUNTIF(G423,1000)+COUNTIF(G423,2000))</f>
        <v/>
      </c>
      <c r="I423" t="str">
        <f>IF(H423=0,"",IF(C423=C422,"",SUM($H$3:H423)))</f>
        <v/>
      </c>
    </row>
    <row r="424" spans="2:9">
      <c r="B424" s="164">
        <v>45805</v>
      </c>
      <c r="C424" t="s">
        <v>136</v>
      </c>
      <c r="D424">
        <v>3</v>
      </c>
      <c r="E424">
        <v>500000</v>
      </c>
      <c r="F424">
        <v>19230256</v>
      </c>
      <c r="G424">
        <v>1000</v>
      </c>
      <c r="H424" t="str">
        <f>IF(C424=C423,"",COUNTIF(G424,1000)+COUNTIF(G424,2000))</f>
        <v/>
      </c>
      <c r="I424" t="str">
        <f>IF(H424=0,"",IF(C424=C423,"",SUM($H$3:H424)))</f>
        <v/>
      </c>
    </row>
    <row r="425" spans="2:9">
      <c r="B425" s="164">
        <v>45805</v>
      </c>
      <c r="C425" t="s">
        <v>136</v>
      </c>
      <c r="D425">
        <v>3</v>
      </c>
      <c r="E425">
        <v>500000</v>
      </c>
      <c r="F425">
        <v>19230256</v>
      </c>
      <c r="G425">
        <v>1000</v>
      </c>
      <c r="H425" t="str">
        <f>IF(C425=C424,"",COUNTIF(G425,1000)+COUNTIF(G425,2000))</f>
        <v/>
      </c>
      <c r="I425" t="str">
        <f>IF(H425=0,"",IF(C425=C424,"",SUM($H$3:H425)))</f>
        <v/>
      </c>
    </row>
    <row r="426" spans="2:9">
      <c r="B426" s="164">
        <v>45805</v>
      </c>
      <c r="C426" t="s">
        <v>136</v>
      </c>
      <c r="D426">
        <v>3</v>
      </c>
      <c r="E426">
        <v>500000</v>
      </c>
      <c r="F426">
        <v>19230256</v>
      </c>
      <c r="G426">
        <v>1000</v>
      </c>
      <c r="H426" t="str">
        <f>IF(C426=C425,"",COUNTIF(G426,1000)+COUNTIF(G426,2000))</f>
        <v/>
      </c>
      <c r="I426" t="str">
        <f>IF(H426=0,"",IF(C426=C425,"",SUM($H$3:H426)))</f>
        <v/>
      </c>
    </row>
    <row r="427" spans="2:9">
      <c r="B427" s="164">
        <v>45805</v>
      </c>
      <c r="C427" t="s">
        <v>136</v>
      </c>
      <c r="D427">
        <v>3</v>
      </c>
      <c r="E427">
        <v>500000</v>
      </c>
      <c r="F427">
        <v>19230256</v>
      </c>
      <c r="G427">
        <v>1000</v>
      </c>
      <c r="H427" t="str">
        <f>IF(C427=C426,"",COUNTIF(G427,1000)+COUNTIF(G427,2000))</f>
        <v/>
      </c>
      <c r="I427" t="str">
        <f>IF(H427=0,"",IF(C427=C426,"",SUM($H$3:H427)))</f>
        <v/>
      </c>
    </row>
    <row r="428" spans="2:9">
      <c r="B428" s="164">
        <v>45805</v>
      </c>
      <c r="C428" t="s">
        <v>136</v>
      </c>
      <c r="D428">
        <v>3</v>
      </c>
      <c r="E428">
        <v>500000</v>
      </c>
      <c r="F428">
        <v>19230256</v>
      </c>
      <c r="G428">
        <v>1000</v>
      </c>
      <c r="H428" t="str">
        <f>IF(C428=C427,"",COUNTIF(G428,1000)+COUNTIF(G428,2000))</f>
        <v/>
      </c>
      <c r="I428" t="str">
        <f>IF(H428=0,"",IF(C428=C427,"",SUM($H$3:H428)))</f>
        <v/>
      </c>
    </row>
    <row r="429" spans="2:9">
      <c r="B429" s="164">
        <v>45805</v>
      </c>
      <c r="C429" t="s">
        <v>136</v>
      </c>
      <c r="D429">
        <v>3</v>
      </c>
      <c r="E429">
        <v>500000</v>
      </c>
      <c r="F429">
        <v>19230256</v>
      </c>
      <c r="G429">
        <v>1000</v>
      </c>
      <c r="H429" t="str">
        <f>IF(C429=C428,"",COUNTIF(G429,1000)+COUNTIF(G429,2000))</f>
        <v/>
      </c>
      <c r="I429" t="str">
        <f>IF(H429=0,"",IF(C429=C428,"",SUM($H$3:H429)))</f>
        <v/>
      </c>
    </row>
    <row r="430" spans="2:9">
      <c r="B430" s="164">
        <v>45805</v>
      </c>
      <c r="C430" t="s">
        <v>136</v>
      </c>
      <c r="D430">
        <v>3</v>
      </c>
      <c r="E430">
        <v>500000</v>
      </c>
      <c r="F430">
        <v>19230256</v>
      </c>
      <c r="G430">
        <v>1000</v>
      </c>
      <c r="H430" t="str">
        <f>IF(C430=C429,"",COUNTIF(G430,1000)+COUNTIF(G430,2000))</f>
        <v/>
      </c>
      <c r="I430" t="str">
        <f>IF(H430=0,"",IF(C430=C429,"",SUM($H$3:H430)))</f>
        <v/>
      </c>
    </row>
    <row r="431" spans="2:9">
      <c r="B431" s="164">
        <v>45805</v>
      </c>
      <c r="C431" t="s">
        <v>136</v>
      </c>
      <c r="D431">
        <v>3</v>
      </c>
      <c r="E431">
        <v>500000</v>
      </c>
      <c r="F431">
        <v>19230256</v>
      </c>
      <c r="G431">
        <v>1000</v>
      </c>
      <c r="H431" t="str">
        <f>IF(C431=C430,"",COUNTIF(G431,1000)+COUNTIF(G431,2000))</f>
        <v/>
      </c>
      <c r="I431" t="str">
        <f>IF(H431=0,"",IF(C431=C430,"",SUM($H$3:H431)))</f>
        <v/>
      </c>
    </row>
    <row r="432" spans="2:9">
      <c r="B432" s="164">
        <v>45805</v>
      </c>
      <c r="C432" t="s">
        <v>136</v>
      </c>
      <c r="D432">
        <v>3</v>
      </c>
      <c r="E432">
        <v>500000</v>
      </c>
      <c r="F432">
        <v>19230256</v>
      </c>
      <c r="G432">
        <v>1000</v>
      </c>
      <c r="H432" t="str">
        <f>IF(C432=C431,"",COUNTIF(G432,1000)+COUNTIF(G432,2000))</f>
        <v/>
      </c>
      <c r="I432" t="str">
        <f>IF(H432=0,"",IF(C432=C431,"",SUM($H$3:H432)))</f>
        <v/>
      </c>
    </row>
    <row r="433" spans="2:9">
      <c r="B433" s="164">
        <v>45805</v>
      </c>
      <c r="C433" t="s">
        <v>136</v>
      </c>
      <c r="D433">
        <v>3</v>
      </c>
      <c r="E433">
        <v>500000</v>
      </c>
      <c r="F433">
        <v>19230256</v>
      </c>
      <c r="G433">
        <v>1000</v>
      </c>
      <c r="H433" t="str">
        <f>IF(C433=C432,"",COUNTIF(G433,1000)+COUNTIF(G433,2000))</f>
        <v/>
      </c>
      <c r="I433" t="str">
        <f>IF(H433=0,"",IF(C433=C432,"",SUM($H$3:H433)))</f>
        <v/>
      </c>
    </row>
    <row r="434" spans="2:9">
      <c r="B434" s="164">
        <v>45805</v>
      </c>
      <c r="C434" t="s">
        <v>136</v>
      </c>
      <c r="D434">
        <v>3</v>
      </c>
      <c r="E434">
        <v>500000</v>
      </c>
      <c r="F434">
        <v>19230256</v>
      </c>
      <c r="G434">
        <v>1000</v>
      </c>
      <c r="H434" t="str">
        <f>IF(C434=C433,"",COUNTIF(G434,1000)+COUNTIF(G434,2000))</f>
        <v/>
      </c>
      <c r="I434" t="str">
        <f>IF(H434=0,"",IF(C434=C433,"",SUM($H$3:H434)))</f>
        <v/>
      </c>
    </row>
    <row r="435" spans="2:9">
      <c r="B435" s="164">
        <v>45805</v>
      </c>
      <c r="C435" t="s">
        <v>136</v>
      </c>
      <c r="D435">
        <v>3</v>
      </c>
      <c r="E435">
        <v>500000</v>
      </c>
      <c r="F435">
        <v>19230256</v>
      </c>
      <c r="G435">
        <v>1000</v>
      </c>
      <c r="H435" t="str">
        <f>IF(C435=C434,"",COUNTIF(G435,1000)+COUNTIF(G435,2000))</f>
        <v/>
      </c>
      <c r="I435" t="str">
        <f>IF(H435=0,"",IF(C435=C434,"",SUM($H$3:H435)))</f>
        <v/>
      </c>
    </row>
    <row r="436" spans="2:9">
      <c r="B436" s="164">
        <v>45805</v>
      </c>
      <c r="C436" t="s">
        <v>136</v>
      </c>
      <c r="D436">
        <v>3</v>
      </c>
      <c r="E436">
        <v>500000</v>
      </c>
      <c r="F436">
        <v>19230256</v>
      </c>
      <c r="G436">
        <v>1000</v>
      </c>
      <c r="H436" t="str">
        <f>IF(C436=C435,"",COUNTIF(G436,1000)+COUNTIF(G436,2000))</f>
        <v/>
      </c>
      <c r="I436" t="str">
        <f>IF(H436=0,"",IF(C436=C435,"",SUM($H$3:H436)))</f>
        <v/>
      </c>
    </row>
    <row r="437" spans="2:9">
      <c r="B437" s="164">
        <v>45805</v>
      </c>
      <c r="C437" t="s">
        <v>136</v>
      </c>
      <c r="D437">
        <v>3</v>
      </c>
      <c r="E437">
        <v>500000</v>
      </c>
      <c r="F437">
        <v>19230256</v>
      </c>
      <c r="G437">
        <v>1000</v>
      </c>
      <c r="H437" t="str">
        <f>IF(C437=C436,"",COUNTIF(G437,1000)+COUNTIF(G437,2000))</f>
        <v/>
      </c>
      <c r="I437" t="str">
        <f>IF(H437=0,"",IF(C437=C436,"",SUM($H$3:H437)))</f>
        <v/>
      </c>
    </row>
    <row r="438" spans="2:9">
      <c r="B438" s="164">
        <v>45805</v>
      </c>
      <c r="C438" t="s">
        <v>136</v>
      </c>
      <c r="D438">
        <v>3</v>
      </c>
      <c r="E438">
        <v>500000</v>
      </c>
      <c r="F438">
        <v>19230256</v>
      </c>
      <c r="G438">
        <v>1000</v>
      </c>
      <c r="H438" t="str">
        <f>IF(C438=C437,"",COUNTIF(G438,1000)+COUNTIF(G438,2000))</f>
        <v/>
      </c>
      <c r="I438" t="str">
        <f>IF(H438=0,"",IF(C438=C437,"",SUM($H$3:H438)))</f>
        <v/>
      </c>
    </row>
    <row r="439" spans="2:9">
      <c r="B439" s="164">
        <v>45805</v>
      </c>
      <c r="C439" t="s">
        <v>136</v>
      </c>
      <c r="D439">
        <v>3</v>
      </c>
      <c r="E439">
        <v>500000</v>
      </c>
      <c r="F439">
        <v>19230256</v>
      </c>
      <c r="G439">
        <v>1000</v>
      </c>
      <c r="H439" t="str">
        <f>IF(C439=C438,"",COUNTIF(G439,1000)+COUNTIF(G439,2000))</f>
        <v/>
      </c>
      <c r="I439" t="str">
        <f>IF(H439=0,"",IF(C439=C438,"",SUM($H$3:H439)))</f>
        <v/>
      </c>
    </row>
    <row r="440" spans="2:9">
      <c r="B440" s="164">
        <v>45805</v>
      </c>
      <c r="C440" t="s">
        <v>136</v>
      </c>
      <c r="D440">
        <v>3</v>
      </c>
      <c r="E440">
        <v>500000</v>
      </c>
      <c r="F440">
        <v>19230256</v>
      </c>
      <c r="G440">
        <v>1000</v>
      </c>
      <c r="H440" t="str">
        <f>IF(C440=C439,"",COUNTIF(G440,1000)+COUNTIF(G440,2000))</f>
        <v/>
      </c>
      <c r="I440" t="str">
        <f>IF(H440=0,"",IF(C440=C439,"",SUM($H$3:H440)))</f>
        <v/>
      </c>
    </row>
    <row r="441" spans="2:9">
      <c r="B441" s="164">
        <v>45805</v>
      </c>
      <c r="C441" t="s">
        <v>136</v>
      </c>
      <c r="D441">
        <v>3</v>
      </c>
      <c r="E441">
        <v>500000</v>
      </c>
      <c r="F441">
        <v>19230256</v>
      </c>
      <c r="G441">
        <v>1000</v>
      </c>
      <c r="H441" t="str">
        <f>IF(C441=C440,"",COUNTIF(G441,1000)+COUNTIF(G441,2000))</f>
        <v/>
      </c>
      <c r="I441" t="str">
        <f>IF(H441=0,"",IF(C441=C440,"",SUM($H$3:H441)))</f>
        <v/>
      </c>
    </row>
    <row r="442" spans="2:9">
      <c r="B442" s="164">
        <v>45805</v>
      </c>
      <c r="C442" t="s">
        <v>136</v>
      </c>
      <c r="D442">
        <v>3</v>
      </c>
      <c r="E442">
        <v>500000</v>
      </c>
      <c r="F442">
        <v>19230256</v>
      </c>
      <c r="G442">
        <v>1000</v>
      </c>
      <c r="H442" t="str">
        <f>IF(C442=C441,"",COUNTIF(G442,1000)+COUNTIF(G442,2000))</f>
        <v/>
      </c>
      <c r="I442" t="str">
        <f>IF(H442=0,"",IF(C442=C441,"",SUM($H$3:H442)))</f>
        <v/>
      </c>
    </row>
    <row r="443" spans="2:9">
      <c r="B443" s="164">
        <v>45805</v>
      </c>
      <c r="C443" t="s">
        <v>136</v>
      </c>
      <c r="D443">
        <v>3</v>
      </c>
      <c r="E443">
        <v>500000</v>
      </c>
      <c r="F443">
        <v>19230256</v>
      </c>
      <c r="G443">
        <v>1000</v>
      </c>
      <c r="H443" t="str">
        <f>IF(C443=C442,"",COUNTIF(G443,1000)+COUNTIF(G443,2000))</f>
        <v/>
      </c>
      <c r="I443" t="str">
        <f>IF(H443=0,"",IF(C443=C442,"",SUM($H$3:H443)))</f>
        <v/>
      </c>
    </row>
    <row r="444" spans="2:9">
      <c r="B444" s="164">
        <v>45805</v>
      </c>
      <c r="C444" t="s">
        <v>136</v>
      </c>
      <c r="D444">
        <v>3</v>
      </c>
      <c r="E444">
        <v>500000</v>
      </c>
      <c r="F444">
        <v>19230256</v>
      </c>
      <c r="G444">
        <v>1000</v>
      </c>
      <c r="H444" t="str">
        <f>IF(C444=C443,"",COUNTIF(G444,1000)+COUNTIF(G444,2000))</f>
        <v/>
      </c>
      <c r="I444" t="str">
        <f>IF(H444=0,"",IF(C444=C443,"",SUM($H$3:H444)))</f>
        <v/>
      </c>
    </row>
    <row r="445" spans="2:9">
      <c r="B445" s="164">
        <v>45805</v>
      </c>
      <c r="C445" t="s">
        <v>136</v>
      </c>
      <c r="D445">
        <v>3</v>
      </c>
      <c r="E445">
        <v>500000</v>
      </c>
      <c r="F445">
        <v>19230256</v>
      </c>
      <c r="G445">
        <v>1000</v>
      </c>
      <c r="H445" t="str">
        <f>IF(C445=C444,"",COUNTIF(G445,1000)+COUNTIF(G445,2000))</f>
        <v/>
      </c>
      <c r="I445" t="str">
        <f>IF(H445=0,"",IF(C445=C444,"",SUM($H$3:H445)))</f>
        <v/>
      </c>
    </row>
    <row r="446" spans="2:9">
      <c r="B446" s="164">
        <v>45805</v>
      </c>
      <c r="C446" t="s">
        <v>136</v>
      </c>
      <c r="D446">
        <v>3</v>
      </c>
      <c r="E446">
        <v>500000</v>
      </c>
      <c r="F446">
        <v>19230256</v>
      </c>
      <c r="G446">
        <v>1000</v>
      </c>
      <c r="H446" t="str">
        <f>IF(C446=C445,"",COUNTIF(G446,1000)+COUNTIF(G446,2000))</f>
        <v/>
      </c>
      <c r="I446" t="str">
        <f>IF(H446=0,"",IF(C446=C445,"",SUM($H$3:H446)))</f>
        <v/>
      </c>
    </row>
    <row r="447" spans="2:9">
      <c r="B447" s="164">
        <v>45805</v>
      </c>
      <c r="C447" t="s">
        <v>136</v>
      </c>
      <c r="D447">
        <v>3</v>
      </c>
      <c r="E447">
        <v>500000</v>
      </c>
      <c r="F447">
        <v>19230256</v>
      </c>
      <c r="G447">
        <v>1000</v>
      </c>
      <c r="H447" t="str">
        <f>IF(C447=C446,"",COUNTIF(G447,1000)+COUNTIF(G447,2000))</f>
        <v/>
      </c>
      <c r="I447" t="str">
        <f>IF(H447=0,"",IF(C447=C446,"",SUM($H$3:H447)))</f>
        <v/>
      </c>
    </row>
    <row r="448" spans="2:9">
      <c r="B448" s="164">
        <v>45805</v>
      </c>
      <c r="C448" t="s">
        <v>136</v>
      </c>
      <c r="D448">
        <v>3</v>
      </c>
      <c r="E448">
        <v>500000</v>
      </c>
      <c r="F448">
        <v>19230256</v>
      </c>
      <c r="G448">
        <v>1000</v>
      </c>
      <c r="H448" t="str">
        <f>IF(C448=C447,"",COUNTIF(G448,1000)+COUNTIF(G448,2000))</f>
        <v/>
      </c>
      <c r="I448" t="str">
        <f>IF(H448=0,"",IF(C448=C447,"",SUM($H$3:H448)))</f>
        <v/>
      </c>
    </row>
    <row r="449" spans="2:9">
      <c r="B449" s="164">
        <v>45805</v>
      </c>
      <c r="C449" t="s">
        <v>136</v>
      </c>
      <c r="D449">
        <v>3</v>
      </c>
      <c r="E449">
        <v>500000</v>
      </c>
      <c r="F449">
        <v>19230256</v>
      </c>
      <c r="G449">
        <v>1000</v>
      </c>
      <c r="H449" t="str">
        <f>IF(C449=C448,"",COUNTIF(G449,1000)+COUNTIF(G449,2000))</f>
        <v/>
      </c>
      <c r="I449" t="str">
        <f>IF(H449=0,"",IF(C449=C448,"",SUM($H$3:H449)))</f>
        <v/>
      </c>
    </row>
    <row r="450" spans="2:9">
      <c r="B450" s="164">
        <v>45805</v>
      </c>
      <c r="C450" t="s">
        <v>136</v>
      </c>
      <c r="D450">
        <v>3</v>
      </c>
      <c r="E450">
        <v>500000</v>
      </c>
      <c r="F450">
        <v>19230256</v>
      </c>
      <c r="G450">
        <v>1000</v>
      </c>
      <c r="H450" t="str">
        <f>IF(C450=C449,"",COUNTIF(G450,1000)+COUNTIF(G450,2000))</f>
        <v/>
      </c>
      <c r="I450" t="str">
        <f>IF(H450=0,"",IF(C450=C449,"",SUM($H$3:H450)))</f>
        <v/>
      </c>
    </row>
    <row r="451" spans="2:9">
      <c r="B451" s="164">
        <v>45805</v>
      </c>
      <c r="C451" t="s">
        <v>136</v>
      </c>
      <c r="D451">
        <v>3</v>
      </c>
      <c r="E451">
        <v>500000</v>
      </c>
      <c r="F451">
        <v>19230256</v>
      </c>
      <c r="G451">
        <v>1000</v>
      </c>
      <c r="H451" t="str">
        <f>IF(C451=C450,"",COUNTIF(G451,1000)+COUNTIF(G451,2000))</f>
        <v/>
      </c>
      <c r="I451" t="str">
        <f>IF(H451=0,"",IF(C451=C450,"",SUM($H$3:H451)))</f>
        <v/>
      </c>
    </row>
    <row r="452" spans="2:9">
      <c r="B452" s="164">
        <v>45805</v>
      </c>
      <c r="C452" t="s">
        <v>136</v>
      </c>
      <c r="D452">
        <v>3</v>
      </c>
      <c r="E452">
        <v>500000</v>
      </c>
      <c r="F452">
        <v>19230256</v>
      </c>
      <c r="G452">
        <v>1000</v>
      </c>
      <c r="H452" t="str">
        <f>IF(C452=C451,"",COUNTIF(G452,1000)+COUNTIF(G452,2000))</f>
        <v/>
      </c>
      <c r="I452" t="str">
        <f>IF(H452=0,"",IF(C452=C451,"",SUM($H$3:H452)))</f>
        <v/>
      </c>
    </row>
    <row r="453" spans="2:9">
      <c r="B453" s="164">
        <v>45805</v>
      </c>
      <c r="C453" t="s">
        <v>136</v>
      </c>
      <c r="D453">
        <v>3</v>
      </c>
      <c r="E453">
        <v>500000</v>
      </c>
      <c r="F453">
        <v>19230256</v>
      </c>
      <c r="G453">
        <v>1000</v>
      </c>
      <c r="H453" t="str">
        <f>IF(C453=C452,"",COUNTIF(G453,1000)+COUNTIF(G453,2000))</f>
        <v/>
      </c>
      <c r="I453" t="str">
        <f>IF(H453=0,"",IF(C453=C452,"",SUM($H$3:H453)))</f>
        <v/>
      </c>
    </row>
    <row r="454" spans="2:9">
      <c r="B454" s="164">
        <v>45805</v>
      </c>
      <c r="C454" t="s">
        <v>136</v>
      </c>
      <c r="D454">
        <v>3</v>
      </c>
      <c r="E454">
        <v>500000</v>
      </c>
      <c r="F454">
        <v>19230256</v>
      </c>
      <c r="G454">
        <v>1000</v>
      </c>
      <c r="H454" t="str">
        <f>IF(C454=C453,"",COUNTIF(G454,1000)+COUNTIF(G454,2000))</f>
        <v/>
      </c>
      <c r="I454" t="str">
        <f>IF(H454=0,"",IF(C454=C453,"",SUM($H$3:H454)))</f>
        <v/>
      </c>
    </row>
    <row r="455" spans="2:9">
      <c r="B455" s="164">
        <v>45817</v>
      </c>
      <c r="C455" t="s">
        <v>143</v>
      </c>
      <c r="D455">
        <v>2</v>
      </c>
      <c r="E455">
        <v>311730</v>
      </c>
      <c r="F455">
        <v>11762171</v>
      </c>
      <c r="G455">
        <v>2000</v>
      </c>
      <c r="H455">
        <f>IF(C455=C454,"",COUNTIF(G455,1000)+COUNTIF(G455,2000))</f>
        <v>1</v>
      </c>
      <c r="I455">
        <f>IF(H455=0,"",IF(C455=C454,"",SUM($H$3:H455)))</f>
        <v>11</v>
      </c>
    </row>
    <row r="456" spans="2:9">
      <c r="B456" s="164">
        <v>45817</v>
      </c>
      <c r="C456" t="s">
        <v>143</v>
      </c>
      <c r="D456">
        <v>2</v>
      </c>
      <c r="E456">
        <v>311730</v>
      </c>
      <c r="F456">
        <v>11762171</v>
      </c>
      <c r="G456">
        <v>2000</v>
      </c>
      <c r="H456" t="str">
        <f>IF(C456=C455,"",COUNTIF(G456,1000)+COUNTIF(G456,2000))</f>
        <v/>
      </c>
      <c r="I456" t="str">
        <f>IF(H456=0,"",IF(C456=C455,"",SUM($H$3:H456)))</f>
        <v/>
      </c>
    </row>
    <row r="457" spans="2:9">
      <c r="B457" s="164">
        <v>45817</v>
      </c>
      <c r="C457" t="s">
        <v>143</v>
      </c>
      <c r="D457">
        <v>2</v>
      </c>
      <c r="E457">
        <v>311730</v>
      </c>
      <c r="F457">
        <v>11762171</v>
      </c>
      <c r="G457">
        <v>2000</v>
      </c>
      <c r="H457" t="str">
        <f>IF(C457=C456,"",COUNTIF(G457,1000)+COUNTIF(G457,2000))</f>
        <v/>
      </c>
      <c r="I457" t="str">
        <f>IF(H457=0,"",IF(C457=C456,"",SUM($H$3:H457)))</f>
        <v/>
      </c>
    </row>
    <row r="458" spans="2:9">
      <c r="B458" s="164">
        <v>45817</v>
      </c>
      <c r="C458" t="s">
        <v>143</v>
      </c>
      <c r="D458">
        <v>2</v>
      </c>
      <c r="E458">
        <v>311730</v>
      </c>
      <c r="F458">
        <v>11762171</v>
      </c>
      <c r="G458">
        <v>2000</v>
      </c>
      <c r="H458" t="str">
        <f>IF(C458=C457,"",COUNTIF(G458,1000)+COUNTIF(G458,2000))</f>
        <v/>
      </c>
      <c r="I458" t="str">
        <f>IF(H458=0,"",IF(C458=C457,"",SUM($H$3:H458)))</f>
        <v/>
      </c>
    </row>
    <row r="459" spans="2:9">
      <c r="B459" s="164">
        <v>45817</v>
      </c>
      <c r="C459" t="s">
        <v>143</v>
      </c>
      <c r="D459">
        <v>2</v>
      </c>
      <c r="E459">
        <v>311730</v>
      </c>
      <c r="F459">
        <v>11762171</v>
      </c>
      <c r="G459">
        <v>2000</v>
      </c>
      <c r="H459" t="str">
        <f>IF(C459=C458,"",COUNTIF(G459,1000)+COUNTIF(G459,2000))</f>
        <v/>
      </c>
      <c r="I459" t="str">
        <f>IF(H459=0,"",IF(C459=C458,"",SUM($H$3:H459)))</f>
        <v/>
      </c>
    </row>
    <row r="460" spans="2:9">
      <c r="B460" s="164">
        <v>45817</v>
      </c>
      <c r="C460" t="s">
        <v>143</v>
      </c>
      <c r="D460">
        <v>2</v>
      </c>
      <c r="E460">
        <v>311730</v>
      </c>
      <c r="F460">
        <v>11762171</v>
      </c>
      <c r="G460">
        <v>2000</v>
      </c>
      <c r="H460" t="str">
        <f>IF(C460=C459,"",COUNTIF(G460,1000)+COUNTIF(G460,2000))</f>
        <v/>
      </c>
      <c r="I460" t="str">
        <f>IF(H460=0,"",IF(C460=C459,"",SUM($H$3:H460)))</f>
        <v/>
      </c>
    </row>
    <row r="461" spans="2:9">
      <c r="B461" s="164">
        <v>45817</v>
      </c>
      <c r="C461" t="s">
        <v>143</v>
      </c>
      <c r="D461">
        <v>2</v>
      </c>
      <c r="E461">
        <v>311730</v>
      </c>
      <c r="F461">
        <v>11762171</v>
      </c>
      <c r="G461">
        <v>2000</v>
      </c>
      <c r="H461" t="str">
        <f>IF(C461=C460,"",COUNTIF(G461,1000)+COUNTIF(G461,2000))</f>
        <v/>
      </c>
      <c r="I461" t="str">
        <f>IF(H461=0,"",IF(C461=C460,"",SUM($H$3:H461)))</f>
        <v/>
      </c>
    </row>
    <row r="462" spans="2:9">
      <c r="B462" s="164">
        <v>45817</v>
      </c>
      <c r="C462" t="s">
        <v>143</v>
      </c>
      <c r="D462">
        <v>2</v>
      </c>
      <c r="E462">
        <v>311730</v>
      </c>
      <c r="F462">
        <v>11762171</v>
      </c>
      <c r="G462">
        <v>2000</v>
      </c>
      <c r="H462" t="str">
        <f>IF(C462=C461,"",COUNTIF(G462,1000)+COUNTIF(G462,2000))</f>
        <v/>
      </c>
      <c r="I462" t="str">
        <f>IF(H462=0,"",IF(C462=C461,"",SUM($H$3:H462)))</f>
        <v/>
      </c>
    </row>
    <row r="463" spans="2:9">
      <c r="B463" s="164">
        <v>45817</v>
      </c>
      <c r="C463" t="s">
        <v>143</v>
      </c>
      <c r="D463">
        <v>2</v>
      </c>
      <c r="E463">
        <v>311730</v>
      </c>
      <c r="F463">
        <v>11762171</v>
      </c>
      <c r="G463">
        <v>2000</v>
      </c>
      <c r="H463" t="str">
        <f>IF(C463=C462,"",COUNTIF(G463,1000)+COUNTIF(G463,2000))</f>
        <v/>
      </c>
      <c r="I463" t="str">
        <f>IF(H463=0,"",IF(C463=C462,"",SUM($H$3:H463)))</f>
        <v/>
      </c>
    </row>
    <row r="464" spans="2:9">
      <c r="B464" s="164">
        <v>45817</v>
      </c>
      <c r="C464" t="s">
        <v>143</v>
      </c>
      <c r="D464">
        <v>2</v>
      </c>
      <c r="E464">
        <v>311730</v>
      </c>
      <c r="F464">
        <v>11762171</v>
      </c>
      <c r="G464">
        <v>2000</v>
      </c>
      <c r="H464" t="str">
        <f>IF(C464=C463,"",COUNTIF(G464,1000)+COUNTIF(G464,2000))</f>
        <v/>
      </c>
      <c r="I464" t="str">
        <f>IF(H464=0,"",IF(C464=C463,"",SUM($H$3:H464)))</f>
        <v/>
      </c>
    </row>
    <row r="465" spans="2:9">
      <c r="B465" s="164">
        <v>45817</v>
      </c>
      <c r="C465" t="s">
        <v>143</v>
      </c>
      <c r="D465">
        <v>2</v>
      </c>
      <c r="E465">
        <v>311730</v>
      </c>
      <c r="F465">
        <v>11762171</v>
      </c>
      <c r="G465">
        <v>2000</v>
      </c>
      <c r="H465" t="str">
        <f>IF(C465=C464,"",COUNTIF(G465,1000)+COUNTIF(G465,2000))</f>
        <v/>
      </c>
      <c r="I465" t="str">
        <f>IF(H465=0,"",IF(C465=C464,"",SUM($H$3:H465)))</f>
        <v/>
      </c>
    </row>
    <row r="466" spans="2:9">
      <c r="B466" s="164">
        <v>45817</v>
      </c>
      <c r="C466" t="s">
        <v>143</v>
      </c>
      <c r="D466">
        <v>2</v>
      </c>
      <c r="E466">
        <v>311730</v>
      </c>
      <c r="F466">
        <v>11762171</v>
      </c>
      <c r="G466">
        <v>2000</v>
      </c>
      <c r="H466" t="str">
        <f>IF(C466=C465,"",COUNTIF(G466,1000)+COUNTIF(G466,2000))</f>
        <v/>
      </c>
      <c r="I466" t="str">
        <f>IF(H466=0,"",IF(C466=C465,"",SUM($H$3:H466)))</f>
        <v/>
      </c>
    </row>
    <row r="467" spans="2:9">
      <c r="B467" s="164">
        <v>45817</v>
      </c>
      <c r="C467" t="s">
        <v>143</v>
      </c>
      <c r="D467">
        <v>2</v>
      </c>
      <c r="E467">
        <v>311730</v>
      </c>
      <c r="F467">
        <v>11762171</v>
      </c>
      <c r="G467">
        <v>2000</v>
      </c>
      <c r="H467" t="str">
        <f>IF(C467=C466,"",COUNTIF(G467,1000)+COUNTIF(G467,2000))</f>
        <v/>
      </c>
      <c r="I467" t="str">
        <f>IF(H467=0,"",IF(C467=C466,"",SUM($H$3:H467)))</f>
        <v/>
      </c>
    </row>
    <row r="468" spans="2:9">
      <c r="B468" s="164">
        <v>45817</v>
      </c>
      <c r="C468" t="s">
        <v>143</v>
      </c>
      <c r="D468">
        <v>2</v>
      </c>
      <c r="E468">
        <v>311730</v>
      </c>
      <c r="F468">
        <v>11762171</v>
      </c>
      <c r="G468">
        <v>2000</v>
      </c>
      <c r="H468" t="str">
        <f>IF(C468=C467,"",COUNTIF(G468,1000)+COUNTIF(G468,2000))</f>
        <v/>
      </c>
      <c r="I468" t="str">
        <f>IF(H468=0,"",IF(C468=C467,"",SUM($H$3:H468)))</f>
        <v/>
      </c>
    </row>
    <row r="469" spans="2:9">
      <c r="B469" s="164">
        <v>45817</v>
      </c>
      <c r="C469" t="s">
        <v>143</v>
      </c>
      <c r="D469">
        <v>2</v>
      </c>
      <c r="E469">
        <v>311730</v>
      </c>
      <c r="F469">
        <v>11762171</v>
      </c>
      <c r="G469">
        <v>2000</v>
      </c>
      <c r="H469" t="str">
        <f>IF(C469=C468,"",COUNTIF(G469,1000)+COUNTIF(G469,2000))</f>
        <v/>
      </c>
      <c r="I469" t="str">
        <f>IF(H469=0,"",IF(C469=C468,"",SUM($H$3:H469)))</f>
        <v/>
      </c>
    </row>
    <row r="470" spans="2:9">
      <c r="B470" s="164">
        <v>45817</v>
      </c>
      <c r="C470" t="s">
        <v>143</v>
      </c>
      <c r="D470">
        <v>2</v>
      </c>
      <c r="E470">
        <v>311730</v>
      </c>
      <c r="F470">
        <v>11762171</v>
      </c>
      <c r="G470">
        <v>2000</v>
      </c>
      <c r="H470" t="str">
        <f>IF(C470=C469,"",COUNTIF(G470,1000)+COUNTIF(G470,2000))</f>
        <v/>
      </c>
      <c r="I470" t="str">
        <f>IF(H470=0,"",IF(C470=C469,"",SUM($H$3:H470)))</f>
        <v/>
      </c>
    </row>
    <row r="471" spans="2:9">
      <c r="B471" s="164">
        <v>45817</v>
      </c>
      <c r="C471" t="s">
        <v>143</v>
      </c>
      <c r="D471">
        <v>2</v>
      </c>
      <c r="E471">
        <v>311730</v>
      </c>
      <c r="F471">
        <v>11762171</v>
      </c>
      <c r="G471">
        <v>2000</v>
      </c>
      <c r="H471" t="str">
        <f>IF(C471=C470,"",COUNTIF(G471,1000)+COUNTIF(G471,2000))</f>
        <v/>
      </c>
      <c r="I471" t="str">
        <f>IF(H471=0,"",IF(C471=C470,"",SUM($H$3:H471)))</f>
        <v/>
      </c>
    </row>
    <row r="472" spans="2:9">
      <c r="B472" s="164">
        <v>45817</v>
      </c>
      <c r="C472" t="s">
        <v>143</v>
      </c>
      <c r="D472">
        <v>2</v>
      </c>
      <c r="E472">
        <v>311730</v>
      </c>
      <c r="F472">
        <v>11762171</v>
      </c>
      <c r="G472">
        <v>2000</v>
      </c>
      <c r="H472" t="str">
        <f>IF(C472=C471,"",COUNTIF(G472,1000)+COUNTIF(G472,2000))</f>
        <v/>
      </c>
      <c r="I472" t="str">
        <f>IF(H472=0,"",IF(C472=C471,"",SUM($H$3:H472)))</f>
        <v/>
      </c>
    </row>
    <row r="473" spans="2:9">
      <c r="B473" s="164">
        <v>45817</v>
      </c>
      <c r="C473" t="s">
        <v>143</v>
      </c>
      <c r="D473">
        <v>2</v>
      </c>
      <c r="E473">
        <v>311730</v>
      </c>
      <c r="F473">
        <v>11762171</v>
      </c>
      <c r="G473">
        <v>2000</v>
      </c>
      <c r="H473" t="str">
        <f>IF(C473=C472,"",COUNTIF(G473,1000)+COUNTIF(G473,2000))</f>
        <v/>
      </c>
      <c r="I473" t="str">
        <f>IF(H473=0,"",IF(C473=C472,"",SUM($H$3:H473)))</f>
        <v/>
      </c>
    </row>
    <row r="474" spans="2:9">
      <c r="B474" s="164">
        <v>45817</v>
      </c>
      <c r="C474" t="s">
        <v>143</v>
      </c>
      <c r="D474">
        <v>2</v>
      </c>
      <c r="E474">
        <v>311730</v>
      </c>
      <c r="F474">
        <v>11762171</v>
      </c>
      <c r="G474">
        <v>2000</v>
      </c>
      <c r="H474" t="str">
        <f>IF(C474=C473,"",COUNTIF(G474,1000)+COUNTIF(G474,2000))</f>
        <v/>
      </c>
      <c r="I474" t="str">
        <f>IF(H474=0,"",IF(C474=C473,"",SUM($H$3:H474)))</f>
        <v/>
      </c>
    </row>
    <row r="475" spans="2:9">
      <c r="B475" s="164">
        <v>45817</v>
      </c>
      <c r="C475" t="s">
        <v>143</v>
      </c>
      <c r="D475">
        <v>2</v>
      </c>
      <c r="E475">
        <v>311730</v>
      </c>
      <c r="F475">
        <v>11762171</v>
      </c>
      <c r="G475">
        <v>2000</v>
      </c>
      <c r="H475" t="str">
        <f>IF(C475=C474,"",COUNTIF(G475,1000)+COUNTIF(G475,2000))</f>
        <v/>
      </c>
      <c r="I475" t="str">
        <f>IF(H475=0,"",IF(C475=C474,"",SUM($H$3:H475)))</f>
        <v/>
      </c>
    </row>
    <row r="476" spans="2:9">
      <c r="B476" s="164">
        <v>45817</v>
      </c>
      <c r="C476" t="s">
        <v>143</v>
      </c>
      <c r="D476">
        <v>2</v>
      </c>
      <c r="E476">
        <v>311730</v>
      </c>
      <c r="F476">
        <v>11762171</v>
      </c>
      <c r="G476">
        <v>2000</v>
      </c>
      <c r="H476" t="str">
        <f>IF(C476=C475,"",COUNTIF(G476,1000)+COUNTIF(G476,2000))</f>
        <v/>
      </c>
      <c r="I476" t="str">
        <f>IF(H476=0,"",IF(C476=C475,"",SUM($H$3:H476)))</f>
        <v/>
      </c>
    </row>
    <row r="477" spans="2:9">
      <c r="B477" s="164">
        <v>45817</v>
      </c>
      <c r="C477" t="s">
        <v>143</v>
      </c>
      <c r="D477">
        <v>2</v>
      </c>
      <c r="E477">
        <v>311730</v>
      </c>
      <c r="F477">
        <v>11762171</v>
      </c>
      <c r="G477">
        <v>2000</v>
      </c>
      <c r="H477" t="str">
        <f>IF(C477=C476,"",COUNTIF(G477,1000)+COUNTIF(G477,2000))</f>
        <v/>
      </c>
      <c r="I477" t="str">
        <f>IF(H477=0,"",IF(C477=C476,"",SUM($H$3:H477)))</f>
        <v/>
      </c>
    </row>
    <row r="478" spans="2:9">
      <c r="B478" s="164">
        <v>45817</v>
      </c>
      <c r="C478" t="s">
        <v>143</v>
      </c>
      <c r="D478">
        <v>2</v>
      </c>
      <c r="E478">
        <v>311730</v>
      </c>
      <c r="F478">
        <v>11762171</v>
      </c>
      <c r="G478">
        <v>2000</v>
      </c>
      <c r="H478" t="str">
        <f>IF(C478=C477,"",COUNTIF(G478,1000)+COUNTIF(G478,2000))</f>
        <v/>
      </c>
      <c r="I478" t="str">
        <f>IF(H478=0,"",IF(C478=C477,"",SUM($H$3:H478)))</f>
        <v/>
      </c>
    </row>
    <row r="479" spans="2:9">
      <c r="B479" s="164">
        <v>45817</v>
      </c>
      <c r="C479" t="s">
        <v>143</v>
      </c>
      <c r="D479">
        <v>2</v>
      </c>
      <c r="E479">
        <v>311730</v>
      </c>
      <c r="F479">
        <v>11762171</v>
      </c>
      <c r="G479">
        <v>2000</v>
      </c>
      <c r="H479" t="str">
        <f>IF(C479=C478,"",COUNTIF(G479,1000)+COUNTIF(G479,2000))</f>
        <v/>
      </c>
      <c r="I479" t="str">
        <f>IF(H479=0,"",IF(C479=C478,"",SUM($H$3:H479)))</f>
        <v/>
      </c>
    </row>
    <row r="480" spans="2:9">
      <c r="B480" s="164">
        <v>45820</v>
      </c>
      <c r="C480" t="s">
        <v>137</v>
      </c>
      <c r="D480">
        <v>1</v>
      </c>
      <c r="E480">
        <v>1030000</v>
      </c>
      <c r="F480">
        <v>38715598</v>
      </c>
      <c r="G480">
        <v>1000</v>
      </c>
      <c r="H480">
        <f>IF(C480=C479,"",COUNTIF(G480,1000)+COUNTIF(G480,2000))</f>
        <v>1</v>
      </c>
      <c r="I480">
        <f>IF(H480=0,"",IF(C480=C479,"",SUM($H$3:H480)))</f>
        <v>12</v>
      </c>
    </row>
    <row r="481" spans="2:9">
      <c r="B481" s="164">
        <v>45820</v>
      </c>
      <c r="C481" t="s">
        <v>137</v>
      </c>
      <c r="D481">
        <v>3</v>
      </c>
      <c r="E481">
        <v>1030000</v>
      </c>
      <c r="F481">
        <v>38715598</v>
      </c>
      <c r="G481">
        <v>1000</v>
      </c>
      <c r="H481" t="str">
        <f>IF(C481=C480,"",COUNTIF(G481,1000)+COUNTIF(G481,2000))</f>
        <v/>
      </c>
      <c r="I481" t="str">
        <f>IF(H481=0,"",IF(C481=C480,"",SUM($H$3:H481)))</f>
        <v/>
      </c>
    </row>
    <row r="482" spans="2:9">
      <c r="B482" s="164">
        <v>45820</v>
      </c>
      <c r="C482" t="s">
        <v>137</v>
      </c>
      <c r="D482">
        <v>3</v>
      </c>
      <c r="E482">
        <v>1030000</v>
      </c>
      <c r="F482">
        <v>38715598</v>
      </c>
      <c r="G482">
        <v>1000</v>
      </c>
      <c r="H482" t="str">
        <f>IF(C482=C481,"",COUNTIF(G482,1000)+COUNTIF(G482,2000))</f>
        <v/>
      </c>
      <c r="I482" t="str">
        <f>IF(H482=0,"",IF(C482=C481,"",SUM($H$3:H482)))</f>
        <v/>
      </c>
    </row>
    <row r="483" spans="2:9">
      <c r="B483" s="164">
        <v>45820</v>
      </c>
      <c r="C483" t="s">
        <v>137</v>
      </c>
      <c r="D483">
        <v>3</v>
      </c>
      <c r="E483">
        <v>1030000</v>
      </c>
      <c r="F483">
        <v>38715598</v>
      </c>
      <c r="G483">
        <v>1000</v>
      </c>
      <c r="H483" t="str">
        <f>IF(C483=C482,"",COUNTIF(G483,1000)+COUNTIF(G483,2000))</f>
        <v/>
      </c>
      <c r="I483" t="str">
        <f>IF(H483=0,"",IF(C483=C482,"",SUM($H$3:H483)))</f>
        <v/>
      </c>
    </row>
    <row r="484" spans="2:9">
      <c r="B484" s="164">
        <v>45820</v>
      </c>
      <c r="C484" t="s">
        <v>137</v>
      </c>
      <c r="D484">
        <v>3</v>
      </c>
      <c r="E484">
        <v>1030000</v>
      </c>
      <c r="F484">
        <v>38715598</v>
      </c>
      <c r="G484">
        <v>1000</v>
      </c>
      <c r="H484" t="str">
        <f>IF(C484=C483,"",COUNTIF(G484,1000)+COUNTIF(G484,2000))</f>
        <v/>
      </c>
      <c r="I484" t="str">
        <f>IF(H484=0,"",IF(C484=C483,"",SUM($H$3:H484)))</f>
        <v/>
      </c>
    </row>
    <row r="485" spans="2:9">
      <c r="B485" s="164">
        <v>45820</v>
      </c>
      <c r="C485" t="s">
        <v>137</v>
      </c>
      <c r="D485">
        <v>3</v>
      </c>
      <c r="E485">
        <v>1030000</v>
      </c>
      <c r="F485">
        <v>38715598</v>
      </c>
      <c r="G485">
        <v>1000</v>
      </c>
      <c r="H485" t="str">
        <f>IF(C485=C484,"",COUNTIF(G485,1000)+COUNTIF(G485,2000))</f>
        <v/>
      </c>
      <c r="I485" t="str">
        <f>IF(H485=0,"",IF(C485=C484,"",SUM($H$3:H485)))</f>
        <v/>
      </c>
    </row>
    <row r="486" spans="2:9">
      <c r="B486" s="164">
        <v>45820</v>
      </c>
      <c r="C486" t="s">
        <v>137</v>
      </c>
      <c r="D486">
        <v>2</v>
      </c>
      <c r="E486">
        <v>1030000</v>
      </c>
      <c r="F486">
        <v>38715598</v>
      </c>
      <c r="G486">
        <v>1000</v>
      </c>
      <c r="H486" t="str">
        <f>IF(C486=C485,"",COUNTIF(G486,1000)+COUNTIF(G486,2000))</f>
        <v/>
      </c>
      <c r="I486" t="str">
        <f>IF(H486=0,"",IF(C486=C485,"",SUM($H$3:H486)))</f>
        <v/>
      </c>
    </row>
    <row r="487" spans="2:9">
      <c r="B487" s="164">
        <v>45820</v>
      </c>
      <c r="C487" t="s">
        <v>137</v>
      </c>
      <c r="D487">
        <v>1</v>
      </c>
      <c r="E487">
        <v>1030000</v>
      </c>
      <c r="F487">
        <v>38715598</v>
      </c>
      <c r="G487">
        <v>1000</v>
      </c>
      <c r="H487" t="str">
        <f>IF(C487=C486,"",COUNTIF(G487,1000)+COUNTIF(G487,2000))</f>
        <v/>
      </c>
      <c r="I487" t="str">
        <f>IF(H487=0,"",IF(C487=C486,"",SUM($H$3:H487)))</f>
        <v/>
      </c>
    </row>
    <row r="488" spans="2:9">
      <c r="B488" s="164">
        <v>45820</v>
      </c>
      <c r="C488" t="s">
        <v>137</v>
      </c>
      <c r="D488">
        <v>3</v>
      </c>
      <c r="E488">
        <v>1030000</v>
      </c>
      <c r="F488">
        <v>38715598</v>
      </c>
      <c r="G488">
        <v>1000</v>
      </c>
      <c r="H488" t="str">
        <f>IF(C488=C487,"",COUNTIF(G488,1000)+COUNTIF(G488,2000))</f>
        <v/>
      </c>
      <c r="I488" t="str">
        <f>IF(H488=0,"",IF(C488=C487,"",SUM($H$3:H488)))</f>
        <v/>
      </c>
    </row>
    <row r="489" spans="2:9">
      <c r="B489" s="164">
        <v>45820</v>
      </c>
      <c r="C489" t="s">
        <v>137</v>
      </c>
      <c r="D489">
        <v>2</v>
      </c>
      <c r="E489">
        <v>1030000</v>
      </c>
      <c r="F489">
        <v>38715598</v>
      </c>
      <c r="G489">
        <v>1000</v>
      </c>
      <c r="H489" t="str">
        <f>IF(C489=C488,"",COUNTIF(G489,1000)+COUNTIF(G489,2000))</f>
        <v/>
      </c>
      <c r="I489" t="str">
        <f>IF(H489=0,"",IF(C489=C488,"",SUM($H$3:H489)))</f>
        <v/>
      </c>
    </row>
    <row r="490" spans="2:9">
      <c r="B490" s="164">
        <v>45820</v>
      </c>
      <c r="C490" t="s">
        <v>137</v>
      </c>
      <c r="D490">
        <v>2</v>
      </c>
      <c r="E490">
        <v>1030000</v>
      </c>
      <c r="F490">
        <v>38715598</v>
      </c>
      <c r="G490">
        <v>1000</v>
      </c>
      <c r="H490" t="str">
        <f>IF(C490=C489,"",COUNTIF(G490,1000)+COUNTIF(G490,2000))</f>
        <v/>
      </c>
      <c r="I490" t="str">
        <f>IF(H490=0,"",IF(C490=C489,"",SUM($H$3:H490)))</f>
        <v/>
      </c>
    </row>
    <row r="491" spans="2:9">
      <c r="B491" s="164">
        <v>45820</v>
      </c>
      <c r="C491" t="s">
        <v>137</v>
      </c>
      <c r="D491">
        <v>2</v>
      </c>
      <c r="E491">
        <v>1030000</v>
      </c>
      <c r="F491">
        <v>38715598</v>
      </c>
      <c r="G491">
        <v>1000</v>
      </c>
      <c r="H491" t="str">
        <f>IF(C491=C490,"",COUNTIF(G491,1000)+COUNTIF(G491,2000))</f>
        <v/>
      </c>
      <c r="I491" t="str">
        <f>IF(H491=0,"",IF(C491=C490,"",SUM($H$3:H491)))</f>
        <v/>
      </c>
    </row>
    <row r="492" spans="2:9">
      <c r="B492" s="164">
        <v>45820</v>
      </c>
      <c r="C492" t="s">
        <v>137</v>
      </c>
      <c r="D492">
        <v>2</v>
      </c>
      <c r="E492">
        <v>1030000</v>
      </c>
      <c r="F492">
        <v>38715598</v>
      </c>
      <c r="G492">
        <v>1000</v>
      </c>
      <c r="H492" t="str">
        <f>IF(C492=C491,"",COUNTIF(G492,1000)+COUNTIF(G492,2000))</f>
        <v/>
      </c>
      <c r="I492" t="str">
        <f>IF(H492=0,"",IF(C492=C491,"",SUM($H$3:H492)))</f>
        <v/>
      </c>
    </row>
    <row r="493" spans="2:9">
      <c r="B493" s="164">
        <v>45820</v>
      </c>
      <c r="C493" t="s">
        <v>137</v>
      </c>
      <c r="D493">
        <v>2</v>
      </c>
      <c r="E493">
        <v>1030000</v>
      </c>
      <c r="F493">
        <v>38715598</v>
      </c>
      <c r="G493">
        <v>1000</v>
      </c>
      <c r="H493" t="str">
        <f>IF(C493=C492,"",COUNTIF(G493,1000)+COUNTIF(G493,2000))</f>
        <v/>
      </c>
      <c r="I493" t="str">
        <f>IF(H493=0,"",IF(C493=C492,"",SUM($H$3:H493)))</f>
        <v/>
      </c>
    </row>
    <row r="494" spans="2:9">
      <c r="B494" s="164">
        <v>45820</v>
      </c>
      <c r="C494" t="s">
        <v>137</v>
      </c>
      <c r="D494">
        <v>2</v>
      </c>
      <c r="E494">
        <v>1030000</v>
      </c>
      <c r="F494">
        <v>38715598</v>
      </c>
      <c r="G494">
        <v>1000</v>
      </c>
      <c r="H494" t="str">
        <f>IF(C494=C493,"",COUNTIF(G494,1000)+COUNTIF(G494,2000))</f>
        <v/>
      </c>
      <c r="I494" t="str">
        <f>IF(H494=0,"",IF(C494=C493,"",SUM($H$3:H494)))</f>
        <v/>
      </c>
    </row>
    <row r="495" spans="2:9">
      <c r="B495" s="164">
        <v>45820</v>
      </c>
      <c r="C495" t="s">
        <v>137</v>
      </c>
      <c r="D495">
        <v>2</v>
      </c>
      <c r="E495">
        <v>1030000</v>
      </c>
      <c r="F495">
        <v>38715598</v>
      </c>
      <c r="G495">
        <v>1000</v>
      </c>
      <c r="H495" t="str">
        <f>IF(C495=C494,"",COUNTIF(G495,1000)+COUNTIF(G495,2000))</f>
        <v/>
      </c>
      <c r="I495" t="str">
        <f>IF(H495=0,"",IF(C495=C494,"",SUM($H$3:H495)))</f>
        <v/>
      </c>
    </row>
    <row r="496" spans="2:9">
      <c r="B496" s="164">
        <v>45820</v>
      </c>
      <c r="C496" t="s">
        <v>137</v>
      </c>
      <c r="D496">
        <v>2</v>
      </c>
      <c r="E496">
        <v>1030000</v>
      </c>
      <c r="F496">
        <v>38715598</v>
      </c>
      <c r="G496">
        <v>1000</v>
      </c>
      <c r="H496" t="str">
        <f>IF(C496=C495,"",COUNTIF(G496,1000)+COUNTIF(G496,2000))</f>
        <v/>
      </c>
      <c r="I496" t="str">
        <f>IF(H496=0,"",IF(C496=C495,"",SUM($H$3:H496)))</f>
        <v/>
      </c>
    </row>
    <row r="497" spans="2:9">
      <c r="B497" s="164">
        <v>45820</v>
      </c>
      <c r="C497" t="s">
        <v>137</v>
      </c>
      <c r="D497">
        <v>2</v>
      </c>
      <c r="E497">
        <v>1030000</v>
      </c>
      <c r="F497">
        <v>38715598</v>
      </c>
      <c r="G497">
        <v>1000</v>
      </c>
      <c r="H497" t="str">
        <f>IF(C497=C496,"",COUNTIF(G497,1000)+COUNTIF(G497,2000))</f>
        <v/>
      </c>
      <c r="I497" t="str">
        <f>IF(H497=0,"",IF(C497=C496,"",SUM($H$3:H497)))</f>
        <v/>
      </c>
    </row>
    <row r="498" spans="2:9">
      <c r="B498" s="164">
        <v>45820</v>
      </c>
      <c r="C498" t="s">
        <v>137</v>
      </c>
      <c r="D498">
        <v>2</v>
      </c>
      <c r="E498">
        <v>1030000</v>
      </c>
      <c r="F498">
        <v>38715598</v>
      </c>
      <c r="G498">
        <v>1000</v>
      </c>
      <c r="H498" t="str">
        <f>IF(C498=C497,"",COUNTIF(G498,1000)+COUNTIF(G498,2000))</f>
        <v/>
      </c>
      <c r="I498" t="str">
        <f>IF(H498=0,"",IF(C498=C497,"",SUM($H$3:H498)))</f>
        <v/>
      </c>
    </row>
    <row r="499" spans="2:9">
      <c r="B499" s="164">
        <v>45820</v>
      </c>
      <c r="C499" t="s">
        <v>137</v>
      </c>
      <c r="D499">
        <v>2</v>
      </c>
      <c r="E499">
        <v>1030000</v>
      </c>
      <c r="F499">
        <v>38715598</v>
      </c>
      <c r="G499">
        <v>1000</v>
      </c>
      <c r="H499" t="str">
        <f>IF(C499=C498,"",COUNTIF(G499,1000)+COUNTIF(G499,2000))</f>
        <v/>
      </c>
      <c r="I499" t="str">
        <f>IF(H499=0,"",IF(C499=C498,"",SUM($H$3:H499)))</f>
        <v/>
      </c>
    </row>
    <row r="500" spans="2:9">
      <c r="B500" s="164">
        <v>45820</v>
      </c>
      <c r="C500" t="s">
        <v>137</v>
      </c>
      <c r="D500">
        <v>2</v>
      </c>
      <c r="E500">
        <v>1030000</v>
      </c>
      <c r="F500">
        <v>38715598</v>
      </c>
      <c r="G500">
        <v>1000</v>
      </c>
      <c r="H500" t="str">
        <f>IF(C500=C499,"",COUNTIF(G500,1000)+COUNTIF(G500,2000))</f>
        <v/>
      </c>
      <c r="I500" t="str">
        <f>IF(H500=0,"",IF(C500=C499,"",SUM($H$3:H500)))</f>
        <v/>
      </c>
    </row>
    <row r="501" spans="2:9">
      <c r="B501" s="164">
        <v>45820</v>
      </c>
      <c r="C501" t="s">
        <v>137</v>
      </c>
      <c r="D501">
        <v>2</v>
      </c>
      <c r="E501">
        <v>1030000</v>
      </c>
      <c r="F501">
        <v>38715598</v>
      </c>
      <c r="G501">
        <v>1000</v>
      </c>
      <c r="H501" t="str">
        <f>IF(C501=C500,"",COUNTIF(G501,1000)+COUNTIF(G501,2000))</f>
        <v/>
      </c>
      <c r="I501" t="str">
        <f>IF(H501=0,"",IF(C501=C500,"",SUM($H$3:H501)))</f>
        <v/>
      </c>
    </row>
    <row r="502" spans="2:9">
      <c r="B502" s="164">
        <v>45820</v>
      </c>
      <c r="C502" t="s">
        <v>137</v>
      </c>
      <c r="D502">
        <v>2</v>
      </c>
      <c r="E502">
        <v>1030000</v>
      </c>
      <c r="F502">
        <v>38715598</v>
      </c>
      <c r="G502">
        <v>1000</v>
      </c>
      <c r="H502" t="str">
        <f>IF(C502=C501,"",COUNTIF(G502,1000)+COUNTIF(G502,2000))</f>
        <v/>
      </c>
      <c r="I502" t="str">
        <f>IF(H502=0,"",IF(C502=C501,"",SUM($H$3:H502)))</f>
        <v/>
      </c>
    </row>
    <row r="503" spans="2:9">
      <c r="B503" s="164">
        <v>45820</v>
      </c>
      <c r="C503" t="s">
        <v>137</v>
      </c>
      <c r="D503">
        <v>2</v>
      </c>
      <c r="E503">
        <v>1030000</v>
      </c>
      <c r="F503">
        <v>38715598</v>
      </c>
      <c r="G503">
        <v>1000</v>
      </c>
      <c r="H503" t="str">
        <f>IF(C503=C502,"",COUNTIF(G503,1000)+COUNTIF(G503,2000))</f>
        <v/>
      </c>
      <c r="I503" t="str">
        <f>IF(H503=0,"",IF(C503=C502,"",SUM($H$3:H503)))</f>
        <v/>
      </c>
    </row>
    <row r="504" spans="2:9">
      <c r="B504" s="164">
        <v>45820</v>
      </c>
      <c r="C504" t="s">
        <v>137</v>
      </c>
      <c r="D504">
        <v>2</v>
      </c>
      <c r="E504">
        <v>1030000</v>
      </c>
      <c r="F504">
        <v>38715598</v>
      </c>
      <c r="G504">
        <v>1000</v>
      </c>
      <c r="H504" t="str">
        <f>IF(C504=C503,"",COUNTIF(G504,1000)+COUNTIF(G504,2000))</f>
        <v/>
      </c>
      <c r="I504" t="str">
        <f>IF(H504=0,"",IF(C504=C503,"",SUM($H$3:H504)))</f>
        <v/>
      </c>
    </row>
    <row r="505" spans="2:9">
      <c r="B505" s="164">
        <v>45820</v>
      </c>
      <c r="C505" t="s">
        <v>137</v>
      </c>
      <c r="D505">
        <v>2</v>
      </c>
      <c r="E505">
        <v>1030000</v>
      </c>
      <c r="F505">
        <v>38715598</v>
      </c>
      <c r="G505">
        <v>1000</v>
      </c>
      <c r="H505" t="str">
        <f>IF(C505=C504,"",COUNTIF(G505,1000)+COUNTIF(G505,2000))</f>
        <v/>
      </c>
      <c r="I505" t="str">
        <f>IF(H505=0,"",IF(C505=C504,"",SUM($H$3:H505)))</f>
        <v/>
      </c>
    </row>
    <row r="506" spans="2:9">
      <c r="B506" s="164">
        <v>45820</v>
      </c>
      <c r="C506" t="s">
        <v>137</v>
      </c>
      <c r="D506">
        <v>2</v>
      </c>
      <c r="E506">
        <v>1030000</v>
      </c>
      <c r="F506">
        <v>38715598</v>
      </c>
      <c r="G506">
        <v>1000</v>
      </c>
      <c r="H506" t="str">
        <f>IF(C506=C505,"",COUNTIF(G506,1000)+COUNTIF(G506,2000))</f>
        <v/>
      </c>
      <c r="I506" t="str">
        <f>IF(H506=0,"",IF(C506=C505,"",SUM($H$3:H506)))</f>
        <v/>
      </c>
    </row>
    <row r="507" spans="2:9">
      <c r="B507" s="164">
        <v>45820</v>
      </c>
      <c r="C507" t="s">
        <v>137</v>
      </c>
      <c r="D507">
        <v>1</v>
      </c>
      <c r="E507">
        <v>1030000</v>
      </c>
      <c r="F507">
        <v>38715598</v>
      </c>
      <c r="G507">
        <v>1000</v>
      </c>
      <c r="H507" t="str">
        <f>IF(C507=C506,"",COUNTIF(G507,1000)+COUNTIF(G507,2000))</f>
        <v/>
      </c>
      <c r="I507" t="str">
        <f>IF(H507=0,"",IF(C507=C506,"",SUM($H$3:H507)))</f>
        <v/>
      </c>
    </row>
    <row r="508" spans="2:9">
      <c r="B508" s="164">
        <v>45820</v>
      </c>
      <c r="C508" t="s">
        <v>137</v>
      </c>
      <c r="D508">
        <v>1</v>
      </c>
      <c r="E508">
        <v>1030000</v>
      </c>
      <c r="F508">
        <v>38715598</v>
      </c>
      <c r="G508">
        <v>1000</v>
      </c>
      <c r="H508" t="str">
        <f>IF(C508=C507,"",COUNTIF(G508,1000)+COUNTIF(G508,2000))</f>
        <v/>
      </c>
      <c r="I508" t="str">
        <f>IF(H508=0,"",IF(C508=C507,"",SUM($H$3:H508)))</f>
        <v/>
      </c>
    </row>
    <row r="509" spans="2:9">
      <c r="B509" s="164">
        <v>45820</v>
      </c>
      <c r="C509" t="s">
        <v>137</v>
      </c>
      <c r="D509">
        <v>1</v>
      </c>
      <c r="E509">
        <v>1030000</v>
      </c>
      <c r="F509">
        <v>38715598</v>
      </c>
      <c r="G509">
        <v>1000</v>
      </c>
      <c r="H509" t="str">
        <f>IF(C509=C508,"",COUNTIF(G509,1000)+COUNTIF(G509,2000))</f>
        <v/>
      </c>
      <c r="I509" t="str">
        <f>IF(H509=0,"",IF(C509=C508,"",SUM($H$3:H509)))</f>
        <v/>
      </c>
    </row>
    <row r="510" spans="2:9">
      <c r="B510" s="164">
        <v>45820</v>
      </c>
      <c r="C510" t="s">
        <v>137</v>
      </c>
      <c r="D510">
        <v>1</v>
      </c>
      <c r="E510">
        <v>1030000</v>
      </c>
      <c r="F510">
        <v>38715598</v>
      </c>
      <c r="G510">
        <v>1000</v>
      </c>
      <c r="H510" t="str">
        <f>IF(C510=C509,"",COUNTIF(G510,1000)+COUNTIF(G510,2000))</f>
        <v/>
      </c>
      <c r="I510" t="str">
        <f>IF(H510=0,"",IF(C510=C509,"",SUM($H$3:H510)))</f>
        <v/>
      </c>
    </row>
    <row r="511" spans="2:9">
      <c r="B511" s="164">
        <v>45820</v>
      </c>
      <c r="C511" t="s">
        <v>137</v>
      </c>
      <c r="D511">
        <v>1</v>
      </c>
      <c r="E511">
        <v>1030000</v>
      </c>
      <c r="F511">
        <v>38715598</v>
      </c>
      <c r="G511">
        <v>1000</v>
      </c>
      <c r="H511" t="str">
        <f>IF(C511=C510,"",COUNTIF(G511,1000)+COUNTIF(G511,2000))</f>
        <v/>
      </c>
      <c r="I511" t="str">
        <f>IF(H511=0,"",IF(C511=C510,"",SUM($H$3:H511)))</f>
        <v/>
      </c>
    </row>
    <row r="512" spans="2:9">
      <c r="B512" s="164">
        <v>45820</v>
      </c>
      <c r="C512" t="s">
        <v>137</v>
      </c>
      <c r="D512">
        <v>1</v>
      </c>
      <c r="E512">
        <v>1030000</v>
      </c>
      <c r="F512">
        <v>38715598</v>
      </c>
      <c r="G512">
        <v>1000</v>
      </c>
      <c r="H512" t="str">
        <f>IF(C512=C511,"",COUNTIF(G512,1000)+COUNTIF(G512,2000))</f>
        <v/>
      </c>
      <c r="I512" t="str">
        <f>IF(H512=0,"",IF(C512=C511,"",SUM($H$3:H512)))</f>
        <v/>
      </c>
    </row>
    <row r="513" spans="2:9">
      <c r="B513" s="164">
        <v>45820</v>
      </c>
      <c r="C513" t="s">
        <v>137</v>
      </c>
      <c r="D513">
        <v>3</v>
      </c>
      <c r="E513">
        <v>1030000</v>
      </c>
      <c r="F513">
        <v>38715598</v>
      </c>
      <c r="G513">
        <v>1000</v>
      </c>
      <c r="H513" t="str">
        <f>IF(C513=C512,"",COUNTIF(G513,1000)+COUNTIF(G513,2000))</f>
        <v/>
      </c>
      <c r="I513" t="str">
        <f>IF(H513=0,"",IF(C513=C512,"",SUM($H$3:H513)))</f>
        <v/>
      </c>
    </row>
    <row r="514" spans="2:9">
      <c r="B514" s="164">
        <v>45820</v>
      </c>
      <c r="C514" t="s">
        <v>137</v>
      </c>
      <c r="D514">
        <v>3</v>
      </c>
      <c r="E514">
        <v>1030000</v>
      </c>
      <c r="F514">
        <v>38715598</v>
      </c>
      <c r="G514">
        <v>1000</v>
      </c>
      <c r="H514" t="str">
        <f>IF(C514=C513,"",COUNTIF(G514,1000)+COUNTIF(G514,2000))</f>
        <v/>
      </c>
      <c r="I514" t="str">
        <f>IF(H514=0,"",IF(C514=C513,"",SUM($H$3:H514)))</f>
        <v/>
      </c>
    </row>
    <row r="515" spans="2:9">
      <c r="B515" s="164">
        <v>45820</v>
      </c>
      <c r="C515" t="s">
        <v>137</v>
      </c>
      <c r="D515">
        <v>3</v>
      </c>
      <c r="E515">
        <v>1030000</v>
      </c>
      <c r="F515">
        <v>38715598</v>
      </c>
      <c r="G515">
        <v>1000</v>
      </c>
      <c r="H515" t="str">
        <f>IF(C515=C514,"",COUNTIF(G515,1000)+COUNTIF(G515,2000))</f>
        <v/>
      </c>
      <c r="I515" t="str">
        <f>IF(H515=0,"",IF(C515=C514,"",SUM($H$3:H515)))</f>
        <v/>
      </c>
    </row>
    <row r="516" spans="2:9">
      <c r="B516" s="164">
        <v>45820</v>
      </c>
      <c r="C516" t="s">
        <v>137</v>
      </c>
      <c r="D516">
        <v>3</v>
      </c>
      <c r="E516">
        <v>1030000</v>
      </c>
      <c r="F516">
        <v>38715598</v>
      </c>
      <c r="G516">
        <v>1000</v>
      </c>
      <c r="H516" t="str">
        <f>IF(C516=C515,"",COUNTIF(G516,1000)+COUNTIF(G516,2000))</f>
        <v/>
      </c>
      <c r="I516" t="str">
        <f>IF(H516=0,"",IF(C516=C515,"",SUM($H$3:H516)))</f>
        <v/>
      </c>
    </row>
    <row r="517" spans="2:9">
      <c r="B517" s="164">
        <v>45820</v>
      </c>
      <c r="C517" t="s">
        <v>137</v>
      </c>
      <c r="D517">
        <v>1</v>
      </c>
      <c r="E517">
        <v>1030000</v>
      </c>
      <c r="F517">
        <v>38715598</v>
      </c>
      <c r="G517">
        <v>1000</v>
      </c>
      <c r="H517" t="str">
        <f>IF(C517=C516,"",COUNTIF(G517,1000)+COUNTIF(G517,2000))</f>
        <v/>
      </c>
      <c r="I517" t="str">
        <f>IF(H517=0,"",IF(C517=C516,"",SUM($H$3:H517)))</f>
        <v/>
      </c>
    </row>
    <row r="518" spans="2:9">
      <c r="B518" s="164">
        <v>45820</v>
      </c>
      <c r="C518" t="s">
        <v>137</v>
      </c>
      <c r="D518">
        <v>1</v>
      </c>
      <c r="E518">
        <v>1030000</v>
      </c>
      <c r="F518">
        <v>38715598</v>
      </c>
      <c r="G518">
        <v>1000</v>
      </c>
      <c r="H518" t="str">
        <f>IF(C518=C517,"",COUNTIF(G518,1000)+COUNTIF(G518,2000))</f>
        <v/>
      </c>
      <c r="I518" t="str">
        <f>IF(H518=0,"",IF(C518=C517,"",SUM($H$3:H518)))</f>
        <v/>
      </c>
    </row>
    <row r="519" spans="2:9">
      <c r="B519" s="164">
        <v>45820</v>
      </c>
      <c r="C519" t="s">
        <v>137</v>
      </c>
      <c r="D519">
        <v>1</v>
      </c>
      <c r="E519">
        <v>1030000</v>
      </c>
      <c r="F519">
        <v>38715598</v>
      </c>
      <c r="G519">
        <v>1000</v>
      </c>
      <c r="H519" t="str">
        <f>IF(C519=C518,"",COUNTIF(G519,1000)+COUNTIF(G519,2000))</f>
        <v/>
      </c>
      <c r="I519" t="str">
        <f>IF(H519=0,"",IF(C519=C518,"",SUM($H$3:H519)))</f>
        <v/>
      </c>
    </row>
    <row r="520" spans="2:9">
      <c r="B520" s="164">
        <v>45820</v>
      </c>
      <c r="C520" t="s">
        <v>137</v>
      </c>
      <c r="D520">
        <v>1</v>
      </c>
      <c r="E520">
        <v>1030000</v>
      </c>
      <c r="F520">
        <v>38715598</v>
      </c>
      <c r="G520">
        <v>1000</v>
      </c>
      <c r="H520" t="str">
        <f>IF(C520=C519,"",COUNTIF(G520,1000)+COUNTIF(G520,2000))</f>
        <v/>
      </c>
      <c r="I520" t="str">
        <f>IF(H520=0,"",IF(C520=C519,"",SUM($H$3:H520)))</f>
        <v/>
      </c>
    </row>
    <row r="521" spans="2:9">
      <c r="B521" s="164">
        <v>45820</v>
      </c>
      <c r="C521" t="s">
        <v>137</v>
      </c>
      <c r="D521">
        <v>1</v>
      </c>
      <c r="E521">
        <v>1030000</v>
      </c>
      <c r="F521">
        <v>38715598</v>
      </c>
      <c r="G521">
        <v>1000</v>
      </c>
      <c r="H521" t="str">
        <f>IF(C521=C520,"",COUNTIF(G521,1000)+COUNTIF(G521,2000))</f>
        <v/>
      </c>
      <c r="I521" t="str">
        <f>IF(H521=0,"",IF(C521=C520,"",SUM($H$3:H521)))</f>
        <v/>
      </c>
    </row>
    <row r="522" spans="2:9">
      <c r="B522" s="164">
        <v>45820</v>
      </c>
      <c r="C522" t="s">
        <v>137</v>
      </c>
      <c r="D522">
        <v>3</v>
      </c>
      <c r="E522">
        <v>1030000</v>
      </c>
      <c r="F522">
        <v>38715598</v>
      </c>
      <c r="G522">
        <v>1000</v>
      </c>
      <c r="H522" t="str">
        <f>IF(C522=C521,"",COUNTIF(G522,1000)+COUNTIF(G522,2000))</f>
        <v/>
      </c>
      <c r="I522" t="str">
        <f>IF(H522=0,"",IF(C522=C521,"",SUM($H$3:H522)))</f>
        <v/>
      </c>
    </row>
    <row r="523" spans="2:9">
      <c r="B523" s="164">
        <v>45820</v>
      </c>
      <c r="C523" t="s">
        <v>137</v>
      </c>
      <c r="D523">
        <v>3</v>
      </c>
      <c r="E523">
        <v>1030000</v>
      </c>
      <c r="F523">
        <v>38715598</v>
      </c>
      <c r="G523">
        <v>1000</v>
      </c>
      <c r="H523" t="str">
        <f>IF(C523=C522,"",COUNTIF(G523,1000)+COUNTIF(G523,2000))</f>
        <v/>
      </c>
      <c r="I523" t="str">
        <f>IF(H523=0,"",IF(C523=C522,"",SUM($H$3:H523)))</f>
        <v/>
      </c>
    </row>
    <row r="524" spans="2:9">
      <c r="B524" s="164">
        <v>45820</v>
      </c>
      <c r="C524" t="s">
        <v>137</v>
      </c>
      <c r="D524">
        <v>3</v>
      </c>
      <c r="E524">
        <v>1030000</v>
      </c>
      <c r="F524">
        <v>38715598</v>
      </c>
      <c r="G524">
        <v>1000</v>
      </c>
      <c r="H524" t="str">
        <f>IF(C524=C523,"",COUNTIF(G524,1000)+COUNTIF(G524,2000))</f>
        <v/>
      </c>
      <c r="I524" t="str">
        <f>IF(H524=0,"",IF(C524=C523,"",SUM($H$3:H524)))</f>
        <v/>
      </c>
    </row>
    <row r="525" spans="2:9">
      <c r="B525" s="164">
        <v>45820</v>
      </c>
      <c r="C525" t="s">
        <v>137</v>
      </c>
      <c r="D525">
        <v>3</v>
      </c>
      <c r="E525">
        <v>1030000</v>
      </c>
      <c r="F525">
        <v>38715598</v>
      </c>
      <c r="G525">
        <v>1000</v>
      </c>
      <c r="H525" t="str">
        <f>IF(C525=C524,"",COUNTIF(G525,1000)+COUNTIF(G525,2000))</f>
        <v/>
      </c>
      <c r="I525" t="str">
        <f>IF(H525=0,"",IF(C525=C524,"",SUM($H$3:H525)))</f>
        <v/>
      </c>
    </row>
    <row r="526" spans="2:9">
      <c r="B526" s="164">
        <v>45820</v>
      </c>
      <c r="C526" t="s">
        <v>137</v>
      </c>
      <c r="D526">
        <v>3</v>
      </c>
      <c r="E526">
        <v>1030000</v>
      </c>
      <c r="F526">
        <v>38715598</v>
      </c>
      <c r="G526">
        <v>1000</v>
      </c>
      <c r="H526" t="str">
        <f>IF(C526=C525,"",COUNTIF(G526,1000)+COUNTIF(G526,2000))</f>
        <v/>
      </c>
      <c r="I526" t="str">
        <f>IF(H526=0,"",IF(C526=C525,"",SUM($H$3:H526)))</f>
        <v/>
      </c>
    </row>
    <row r="527" spans="2:9">
      <c r="B527" s="164">
        <v>45820</v>
      </c>
      <c r="C527" t="s">
        <v>137</v>
      </c>
      <c r="D527">
        <v>3</v>
      </c>
      <c r="E527">
        <v>1030000</v>
      </c>
      <c r="F527">
        <v>38715598</v>
      </c>
      <c r="G527">
        <v>1000</v>
      </c>
      <c r="H527" t="str">
        <f>IF(C527=C526,"",COUNTIF(G527,1000)+COUNTIF(G527,2000))</f>
        <v/>
      </c>
      <c r="I527" t="str">
        <f>IF(H527=0,"",IF(C527=C526,"",SUM($H$3:H527)))</f>
        <v/>
      </c>
    </row>
    <row r="528" spans="2:9">
      <c r="B528" s="164">
        <v>45820</v>
      </c>
      <c r="C528" t="s">
        <v>137</v>
      </c>
      <c r="D528">
        <v>3</v>
      </c>
      <c r="E528">
        <v>1030000</v>
      </c>
      <c r="F528">
        <v>38715598</v>
      </c>
      <c r="G528">
        <v>1000</v>
      </c>
      <c r="H528" t="str">
        <f>IF(C528=C527,"",COUNTIF(G528,1000)+COUNTIF(G528,2000))</f>
        <v/>
      </c>
      <c r="I528" t="str">
        <f>IF(H528=0,"",IF(C528=C527,"",SUM($H$3:H528)))</f>
        <v/>
      </c>
    </row>
    <row r="529" spans="2:9">
      <c r="B529" s="164">
        <v>45820</v>
      </c>
      <c r="C529" t="s">
        <v>137</v>
      </c>
      <c r="D529">
        <v>1</v>
      </c>
      <c r="E529">
        <v>1030000</v>
      </c>
      <c r="F529">
        <v>38715598</v>
      </c>
      <c r="G529">
        <v>1000</v>
      </c>
      <c r="H529" t="str">
        <f>IF(C529=C528,"",COUNTIF(G529,1000)+COUNTIF(G529,2000))</f>
        <v/>
      </c>
      <c r="I529" t="str">
        <f>IF(H529=0,"",IF(C529=C528,"",SUM($H$3:H529)))</f>
        <v/>
      </c>
    </row>
    <row r="530" spans="2:9">
      <c r="B530" s="164">
        <v>45820</v>
      </c>
      <c r="C530" t="s">
        <v>137</v>
      </c>
      <c r="D530">
        <v>1</v>
      </c>
      <c r="E530">
        <v>1030000</v>
      </c>
      <c r="F530">
        <v>38715598</v>
      </c>
      <c r="G530">
        <v>1000</v>
      </c>
      <c r="H530" t="str">
        <f>IF(C530=C529,"",COUNTIF(G530,1000)+COUNTIF(G530,2000))</f>
        <v/>
      </c>
      <c r="I530" t="str">
        <f>IF(H530=0,"",IF(C530=C529,"",SUM($H$3:H530)))</f>
        <v/>
      </c>
    </row>
    <row r="531" spans="2:9">
      <c r="B531" s="164">
        <v>45820</v>
      </c>
      <c r="C531" t="s">
        <v>137</v>
      </c>
      <c r="D531">
        <v>1</v>
      </c>
      <c r="E531">
        <v>1030000</v>
      </c>
      <c r="F531">
        <v>38715598</v>
      </c>
      <c r="G531">
        <v>1000</v>
      </c>
      <c r="H531" t="str">
        <f>IF(C531=C530,"",COUNTIF(G531,1000)+COUNTIF(G531,2000))</f>
        <v/>
      </c>
      <c r="I531" t="str">
        <f>IF(H531=0,"",IF(C531=C530,"",SUM($H$3:H531)))</f>
        <v/>
      </c>
    </row>
    <row r="532" spans="2:9">
      <c r="B532" s="164">
        <v>45820</v>
      </c>
      <c r="C532" t="s">
        <v>137</v>
      </c>
      <c r="D532">
        <v>1</v>
      </c>
      <c r="E532">
        <v>1030000</v>
      </c>
      <c r="F532">
        <v>38715598</v>
      </c>
      <c r="G532">
        <v>1000</v>
      </c>
      <c r="H532" t="str">
        <f>IF(C532=C531,"",COUNTIF(G532,1000)+COUNTIF(G532,2000))</f>
        <v/>
      </c>
      <c r="I532" t="str">
        <f>IF(H532=0,"",IF(C532=C531,"",SUM($H$3:H532)))</f>
        <v/>
      </c>
    </row>
    <row r="533" spans="2:9">
      <c r="B533" s="164">
        <v>45820</v>
      </c>
      <c r="C533" t="s">
        <v>137</v>
      </c>
      <c r="D533">
        <v>1</v>
      </c>
      <c r="E533">
        <v>1030000</v>
      </c>
      <c r="F533">
        <v>38715598</v>
      </c>
      <c r="G533">
        <v>1000</v>
      </c>
      <c r="H533" t="str">
        <f>IF(C533=C532,"",COUNTIF(G533,1000)+COUNTIF(G533,2000))</f>
        <v/>
      </c>
      <c r="I533" t="str">
        <f>IF(H533=0,"",IF(C533=C532,"",SUM($H$3:H533)))</f>
        <v/>
      </c>
    </row>
    <row r="534" spans="2:9">
      <c r="B534" s="164">
        <v>45820</v>
      </c>
      <c r="C534" t="s">
        <v>137</v>
      </c>
      <c r="D534">
        <v>1</v>
      </c>
      <c r="E534">
        <v>1030000</v>
      </c>
      <c r="F534">
        <v>38715598</v>
      </c>
      <c r="G534">
        <v>1000</v>
      </c>
      <c r="H534" t="str">
        <f>IF(C534=C533,"",COUNTIF(G534,1000)+COUNTIF(G534,2000))</f>
        <v/>
      </c>
      <c r="I534" t="str">
        <f>IF(H534=0,"",IF(C534=C533,"",SUM($H$3:H534)))</f>
        <v/>
      </c>
    </row>
    <row r="535" spans="2:9">
      <c r="B535" s="164">
        <v>45820</v>
      </c>
      <c r="C535" t="s">
        <v>137</v>
      </c>
      <c r="D535">
        <v>2</v>
      </c>
      <c r="E535">
        <v>1030000</v>
      </c>
      <c r="F535">
        <v>38715598</v>
      </c>
      <c r="G535">
        <v>1000</v>
      </c>
      <c r="H535" t="str">
        <f>IF(C535=C534,"",COUNTIF(G535,1000)+COUNTIF(G535,2000))</f>
        <v/>
      </c>
      <c r="I535" t="str">
        <f>IF(H535=0,"",IF(C535=C534,"",SUM($H$3:H535)))</f>
        <v/>
      </c>
    </row>
    <row r="536" spans="2:9">
      <c r="B536" s="164">
        <v>45820</v>
      </c>
      <c r="C536" t="s">
        <v>137</v>
      </c>
      <c r="D536">
        <v>2</v>
      </c>
      <c r="E536">
        <v>1030000</v>
      </c>
      <c r="F536">
        <v>38715598</v>
      </c>
      <c r="G536">
        <v>1000</v>
      </c>
      <c r="H536" t="str">
        <f>IF(C536=C535,"",COUNTIF(G536,1000)+COUNTIF(G536,2000))</f>
        <v/>
      </c>
      <c r="I536" t="str">
        <f>IF(H536=0,"",IF(C536=C535,"",SUM($H$3:H536)))</f>
        <v/>
      </c>
    </row>
    <row r="537" spans="2:9">
      <c r="B537" s="164">
        <v>45820</v>
      </c>
      <c r="C537" t="s">
        <v>137</v>
      </c>
      <c r="D537">
        <v>2</v>
      </c>
      <c r="E537">
        <v>1030000</v>
      </c>
      <c r="F537">
        <v>38715598</v>
      </c>
      <c r="G537">
        <v>1000</v>
      </c>
      <c r="H537" t="str">
        <f>IF(C537=C536,"",COUNTIF(G537,1000)+COUNTIF(G537,2000))</f>
        <v/>
      </c>
      <c r="I537" t="str">
        <f>IF(H537=0,"",IF(C537=C536,"",SUM($H$3:H537)))</f>
        <v/>
      </c>
    </row>
    <row r="538" spans="2:9">
      <c r="B538" s="164">
        <v>45820</v>
      </c>
      <c r="C538" t="s">
        <v>137</v>
      </c>
      <c r="D538">
        <v>2</v>
      </c>
      <c r="E538">
        <v>1030000</v>
      </c>
      <c r="F538">
        <v>38715598</v>
      </c>
      <c r="G538">
        <v>1000</v>
      </c>
      <c r="H538" t="str">
        <f>IF(C538=C537,"",COUNTIF(G538,1000)+COUNTIF(G538,2000))</f>
        <v/>
      </c>
      <c r="I538" t="str">
        <f>IF(H538=0,"",IF(C538=C537,"",SUM($H$3:H538)))</f>
        <v/>
      </c>
    </row>
    <row r="539" spans="2:9">
      <c r="B539" s="164">
        <v>45820</v>
      </c>
      <c r="C539" t="s">
        <v>137</v>
      </c>
      <c r="D539">
        <v>2</v>
      </c>
      <c r="E539">
        <v>1030000</v>
      </c>
      <c r="F539">
        <v>38715598</v>
      </c>
      <c r="G539">
        <v>1000</v>
      </c>
      <c r="H539" t="str">
        <f>IF(C539=C538,"",COUNTIF(G539,1000)+COUNTIF(G539,2000))</f>
        <v/>
      </c>
      <c r="I539" t="str">
        <f>IF(H539=0,"",IF(C539=C538,"",SUM($H$3:H539)))</f>
        <v/>
      </c>
    </row>
    <row r="540" spans="2:9">
      <c r="B540" s="164">
        <v>45820</v>
      </c>
      <c r="C540" t="s">
        <v>137</v>
      </c>
      <c r="D540">
        <v>2</v>
      </c>
      <c r="E540">
        <v>1030000</v>
      </c>
      <c r="F540">
        <v>38715598</v>
      </c>
      <c r="G540">
        <v>1000</v>
      </c>
      <c r="H540" t="str">
        <f>IF(C540=C539,"",COUNTIF(G540,1000)+COUNTIF(G540,2000))</f>
        <v/>
      </c>
      <c r="I540" t="str">
        <f>IF(H540=0,"",IF(C540=C539,"",SUM($H$3:H540)))</f>
        <v/>
      </c>
    </row>
    <row r="541" spans="2:9">
      <c r="B541" s="164">
        <v>45820</v>
      </c>
      <c r="C541" t="s">
        <v>137</v>
      </c>
      <c r="D541">
        <v>2</v>
      </c>
      <c r="E541">
        <v>1030000</v>
      </c>
      <c r="F541">
        <v>38715598</v>
      </c>
      <c r="G541">
        <v>1000</v>
      </c>
      <c r="H541" t="str">
        <f>IF(C541=C540,"",COUNTIF(G541,1000)+COUNTIF(G541,2000))</f>
        <v/>
      </c>
      <c r="I541" t="str">
        <f>IF(H541=0,"",IF(C541=C540,"",SUM($H$3:H541)))</f>
        <v/>
      </c>
    </row>
    <row r="542" spans="2:9">
      <c r="B542" s="164">
        <v>45820</v>
      </c>
      <c r="C542" t="s">
        <v>137</v>
      </c>
      <c r="D542">
        <v>2</v>
      </c>
      <c r="E542">
        <v>1030000</v>
      </c>
      <c r="F542">
        <v>38715598</v>
      </c>
      <c r="G542">
        <v>1000</v>
      </c>
      <c r="H542" t="str">
        <f>IF(C542=C541,"",COUNTIF(G542,1000)+COUNTIF(G542,2000))</f>
        <v/>
      </c>
      <c r="I542" t="str">
        <f>IF(H542=0,"",IF(C542=C541,"",SUM($H$3:H542)))</f>
        <v/>
      </c>
    </row>
    <row r="543" spans="2:9">
      <c r="B543" s="164">
        <v>45820</v>
      </c>
      <c r="C543" t="s">
        <v>137</v>
      </c>
      <c r="D543">
        <v>2</v>
      </c>
      <c r="E543">
        <v>1030000</v>
      </c>
      <c r="F543">
        <v>38715598</v>
      </c>
      <c r="G543">
        <v>1000</v>
      </c>
      <c r="H543" t="str">
        <f>IF(C543=C542,"",COUNTIF(G543,1000)+COUNTIF(G543,2000))</f>
        <v/>
      </c>
      <c r="I543" t="str">
        <f>IF(H543=0,"",IF(C543=C542,"",SUM($H$3:H543)))</f>
        <v/>
      </c>
    </row>
    <row r="544" spans="2:9">
      <c r="B544" s="164">
        <v>45820</v>
      </c>
      <c r="C544" t="s">
        <v>137</v>
      </c>
      <c r="D544">
        <v>2</v>
      </c>
      <c r="E544">
        <v>1030000</v>
      </c>
      <c r="F544">
        <v>38715598</v>
      </c>
      <c r="G544">
        <v>1000</v>
      </c>
      <c r="H544" t="str">
        <f>IF(C544=C543,"",COUNTIF(G544,1000)+COUNTIF(G544,2000))</f>
        <v/>
      </c>
      <c r="I544" t="str">
        <f>IF(H544=0,"",IF(C544=C543,"",SUM($H$3:H544)))</f>
        <v/>
      </c>
    </row>
    <row r="545" spans="2:9">
      <c r="B545" s="164">
        <v>45820</v>
      </c>
      <c r="C545" t="s">
        <v>137</v>
      </c>
      <c r="D545">
        <v>2</v>
      </c>
      <c r="E545">
        <v>1030000</v>
      </c>
      <c r="F545">
        <v>38715598</v>
      </c>
      <c r="G545">
        <v>1000</v>
      </c>
      <c r="H545" t="str">
        <f>IF(C545=C544,"",COUNTIF(G545,1000)+COUNTIF(G545,2000))</f>
        <v/>
      </c>
      <c r="I545" t="str">
        <f>IF(H545=0,"",IF(C545=C544,"",SUM($H$3:H545)))</f>
        <v/>
      </c>
    </row>
    <row r="546" spans="2:9">
      <c r="B546" s="164">
        <v>45820</v>
      </c>
      <c r="C546" t="s">
        <v>137</v>
      </c>
      <c r="D546">
        <v>1</v>
      </c>
      <c r="E546">
        <v>1030000</v>
      </c>
      <c r="F546">
        <v>38715598</v>
      </c>
      <c r="G546">
        <v>1000</v>
      </c>
      <c r="H546" t="str">
        <f>IF(C546=C545,"",COUNTIF(G546,1000)+COUNTIF(G546,2000))</f>
        <v/>
      </c>
      <c r="I546" t="str">
        <f>IF(H546=0,"",IF(C546=C545,"",SUM($H$3:H546)))</f>
        <v/>
      </c>
    </row>
    <row r="547" spans="2:9">
      <c r="B547" s="164">
        <v>45820</v>
      </c>
      <c r="C547" t="s">
        <v>137</v>
      </c>
      <c r="D547">
        <v>1</v>
      </c>
      <c r="E547">
        <v>1030000</v>
      </c>
      <c r="F547">
        <v>38715598</v>
      </c>
      <c r="G547">
        <v>1000</v>
      </c>
      <c r="H547" t="str">
        <f>IF(C547=C546,"",COUNTIF(G547,1000)+COUNTIF(G547,2000))</f>
        <v/>
      </c>
      <c r="I547" t="str">
        <f>IF(H547=0,"",IF(C547=C546,"",SUM($H$3:H547)))</f>
        <v/>
      </c>
    </row>
    <row r="548" spans="2:9">
      <c r="B548" s="164">
        <v>45820</v>
      </c>
      <c r="C548" t="s">
        <v>137</v>
      </c>
      <c r="D548">
        <v>1</v>
      </c>
      <c r="E548">
        <v>1030000</v>
      </c>
      <c r="F548">
        <v>38715598</v>
      </c>
      <c r="G548">
        <v>1000</v>
      </c>
      <c r="H548" t="str">
        <f>IF(C548=C547,"",COUNTIF(G548,1000)+COUNTIF(G548,2000))</f>
        <v/>
      </c>
      <c r="I548" t="str">
        <f>IF(H548=0,"",IF(C548=C547,"",SUM($H$3:H548)))</f>
        <v/>
      </c>
    </row>
    <row r="549" spans="2:9">
      <c r="B549" s="164">
        <v>45820</v>
      </c>
      <c r="C549" t="s">
        <v>137</v>
      </c>
      <c r="D549">
        <v>1</v>
      </c>
      <c r="E549">
        <v>1030000</v>
      </c>
      <c r="F549">
        <v>38715598</v>
      </c>
      <c r="G549">
        <v>1000</v>
      </c>
      <c r="H549" t="str">
        <f>IF(C549=C548,"",COUNTIF(G549,1000)+COUNTIF(G549,2000))</f>
        <v/>
      </c>
      <c r="I549" t="str">
        <f>IF(H549=0,"",IF(C549=C548,"",SUM($H$3:H549)))</f>
        <v/>
      </c>
    </row>
    <row r="550" spans="2:9">
      <c r="B550" s="164">
        <v>45820</v>
      </c>
      <c r="C550" t="s">
        <v>137</v>
      </c>
      <c r="D550">
        <v>1</v>
      </c>
      <c r="E550">
        <v>1030000</v>
      </c>
      <c r="F550">
        <v>38715598</v>
      </c>
      <c r="G550">
        <v>1000</v>
      </c>
      <c r="H550" t="str">
        <f>IF(C550=C549,"",COUNTIF(G550,1000)+COUNTIF(G550,2000))</f>
        <v/>
      </c>
      <c r="I550" t="str">
        <f>IF(H550=0,"",IF(C550=C549,"",SUM($H$3:H550)))</f>
        <v/>
      </c>
    </row>
    <row r="551" spans="2:9">
      <c r="B551" s="164">
        <v>45820</v>
      </c>
      <c r="C551" t="s">
        <v>137</v>
      </c>
      <c r="D551">
        <v>1</v>
      </c>
      <c r="E551">
        <v>1030000</v>
      </c>
      <c r="F551">
        <v>38715598</v>
      </c>
      <c r="G551">
        <v>1000</v>
      </c>
      <c r="H551" t="str">
        <f>IF(C551=C550,"",COUNTIF(G551,1000)+COUNTIF(G551,2000))</f>
        <v/>
      </c>
      <c r="I551" t="str">
        <f>IF(H551=0,"",IF(C551=C550,"",SUM($H$3:H551)))</f>
        <v/>
      </c>
    </row>
    <row r="552" spans="2:9">
      <c r="B552" s="164">
        <v>45820</v>
      </c>
      <c r="C552" t="s">
        <v>137</v>
      </c>
      <c r="D552">
        <v>2</v>
      </c>
      <c r="E552">
        <v>1030000</v>
      </c>
      <c r="F552">
        <v>38715598</v>
      </c>
      <c r="G552">
        <v>1000</v>
      </c>
      <c r="H552" t="str">
        <f>IF(C552=C551,"",COUNTIF(G552,1000)+COUNTIF(G552,2000))</f>
        <v/>
      </c>
      <c r="I552" t="str">
        <f>IF(H552=0,"",IF(C552=C551,"",SUM($H$3:H552)))</f>
        <v/>
      </c>
    </row>
    <row r="553" spans="2:9">
      <c r="B553" s="164">
        <v>45820</v>
      </c>
      <c r="C553" t="s">
        <v>137</v>
      </c>
      <c r="D553">
        <v>2</v>
      </c>
      <c r="E553">
        <v>1030000</v>
      </c>
      <c r="F553">
        <v>38715598</v>
      </c>
      <c r="G553">
        <v>1000</v>
      </c>
      <c r="H553" t="str">
        <f>IF(C553=C552,"",COUNTIF(G553,1000)+COUNTIF(G553,2000))</f>
        <v/>
      </c>
      <c r="I553" t="str">
        <f>IF(H553=0,"",IF(C553=C552,"",SUM($H$3:H553)))</f>
        <v/>
      </c>
    </row>
    <row r="554" spans="2:9">
      <c r="B554" s="164">
        <v>45820</v>
      </c>
      <c r="C554" t="s">
        <v>137</v>
      </c>
      <c r="D554">
        <v>2</v>
      </c>
      <c r="E554">
        <v>1030000</v>
      </c>
      <c r="F554">
        <v>38715598</v>
      </c>
      <c r="G554">
        <v>1000</v>
      </c>
      <c r="H554" t="str">
        <f>IF(C554=C553,"",COUNTIF(G554,1000)+COUNTIF(G554,2000))</f>
        <v/>
      </c>
      <c r="I554" t="str">
        <f>IF(H554=0,"",IF(C554=C553,"",SUM($H$3:H554)))</f>
        <v/>
      </c>
    </row>
    <row r="555" spans="2:9">
      <c r="B555" s="164">
        <v>45820</v>
      </c>
      <c r="C555" t="s">
        <v>137</v>
      </c>
      <c r="D555">
        <v>1</v>
      </c>
      <c r="E555">
        <v>1030000</v>
      </c>
      <c r="F555">
        <v>38715598</v>
      </c>
      <c r="G555">
        <v>1000</v>
      </c>
      <c r="H555" t="str">
        <f>IF(C555=C554,"",COUNTIF(G555,1000)+COUNTIF(G555,2000))</f>
        <v/>
      </c>
      <c r="I555" t="str">
        <f>IF(H555=0,"",IF(C555=C554,"",SUM($H$3:H555)))</f>
        <v/>
      </c>
    </row>
    <row r="556" spans="2:9">
      <c r="B556" s="164">
        <v>45820</v>
      </c>
      <c r="C556" t="s">
        <v>137</v>
      </c>
      <c r="D556">
        <v>1</v>
      </c>
      <c r="E556">
        <v>1030000</v>
      </c>
      <c r="F556">
        <v>38715598</v>
      </c>
      <c r="G556">
        <v>1000</v>
      </c>
      <c r="H556" t="str">
        <f>IF(C556=C555,"",COUNTIF(G556,1000)+COUNTIF(G556,2000))</f>
        <v/>
      </c>
      <c r="I556" t="str">
        <f>IF(H556=0,"",IF(C556=C555,"",SUM($H$3:H556)))</f>
        <v/>
      </c>
    </row>
    <row r="557" spans="2:9">
      <c r="B557" s="164">
        <v>45820</v>
      </c>
      <c r="C557" t="s">
        <v>137</v>
      </c>
      <c r="D557">
        <v>1</v>
      </c>
      <c r="E557">
        <v>1030000</v>
      </c>
      <c r="F557">
        <v>38715598</v>
      </c>
      <c r="G557">
        <v>1000</v>
      </c>
      <c r="H557" t="str">
        <f>IF(C557=C556,"",COUNTIF(G557,1000)+COUNTIF(G557,2000))</f>
        <v/>
      </c>
      <c r="I557" t="str">
        <f>IF(H557=0,"",IF(C557=C556,"",SUM($H$3:H557)))</f>
        <v/>
      </c>
    </row>
    <row r="558" spans="2:9">
      <c r="B558" s="164">
        <v>45820</v>
      </c>
      <c r="C558" t="s">
        <v>137</v>
      </c>
      <c r="D558">
        <v>1</v>
      </c>
      <c r="E558">
        <v>1030000</v>
      </c>
      <c r="F558">
        <v>38715598</v>
      </c>
      <c r="G558">
        <v>1000</v>
      </c>
      <c r="H558" t="str">
        <f>IF(C558=C557,"",COUNTIF(G558,1000)+COUNTIF(G558,2000))</f>
        <v/>
      </c>
      <c r="I558" t="str">
        <f>IF(H558=0,"",IF(C558=C557,"",SUM($H$3:H558)))</f>
        <v/>
      </c>
    </row>
    <row r="559" spans="2:9">
      <c r="B559" s="164">
        <v>45820</v>
      </c>
      <c r="C559" t="s">
        <v>137</v>
      </c>
      <c r="D559">
        <v>2</v>
      </c>
      <c r="E559">
        <v>1030000</v>
      </c>
      <c r="F559">
        <v>38715598</v>
      </c>
      <c r="G559">
        <v>1000</v>
      </c>
      <c r="H559" t="str">
        <f>IF(C559=C558,"",COUNTIF(G559,1000)+COUNTIF(G559,2000))</f>
        <v/>
      </c>
      <c r="I559" t="str">
        <f>IF(H559=0,"",IF(C559=C558,"",SUM($H$3:H559)))</f>
        <v/>
      </c>
    </row>
    <row r="560" spans="2:9">
      <c r="B560" s="164">
        <v>45820</v>
      </c>
      <c r="C560" t="s">
        <v>137</v>
      </c>
      <c r="D560">
        <v>2</v>
      </c>
      <c r="E560">
        <v>1030000</v>
      </c>
      <c r="F560">
        <v>38715598</v>
      </c>
      <c r="G560">
        <v>1000</v>
      </c>
      <c r="H560" t="str">
        <f>IF(C560=C559,"",COUNTIF(G560,1000)+COUNTIF(G560,2000))</f>
        <v/>
      </c>
      <c r="I560" t="str">
        <f>IF(H560=0,"",IF(C560=C559,"",SUM($H$3:H560)))</f>
        <v/>
      </c>
    </row>
    <row r="561" spans="2:9">
      <c r="B561" s="164">
        <v>45820</v>
      </c>
      <c r="C561" t="s">
        <v>137</v>
      </c>
      <c r="D561">
        <v>2</v>
      </c>
      <c r="E561">
        <v>1030000</v>
      </c>
      <c r="F561">
        <v>38715598</v>
      </c>
      <c r="G561">
        <v>1000</v>
      </c>
      <c r="H561" t="str">
        <f>IF(C561=C560,"",COUNTIF(G561,1000)+COUNTIF(G561,2000))</f>
        <v/>
      </c>
      <c r="I561" t="str">
        <f>IF(H561=0,"",IF(C561=C560,"",SUM($H$3:H561)))</f>
        <v/>
      </c>
    </row>
    <row r="562" spans="2:9">
      <c r="B562" s="164">
        <v>45820</v>
      </c>
      <c r="C562" t="s">
        <v>137</v>
      </c>
      <c r="D562">
        <v>2</v>
      </c>
      <c r="E562">
        <v>1030000</v>
      </c>
      <c r="F562">
        <v>38715598</v>
      </c>
      <c r="G562">
        <v>1000</v>
      </c>
      <c r="H562" t="str">
        <f>IF(C562=C561,"",COUNTIF(G562,1000)+COUNTIF(G562,2000))</f>
        <v/>
      </c>
      <c r="I562" t="str">
        <f>IF(H562=0,"",IF(C562=C561,"",SUM($H$3:H562)))</f>
        <v/>
      </c>
    </row>
    <row r="563" spans="2:9">
      <c r="B563" s="164">
        <v>45820</v>
      </c>
      <c r="C563" t="s">
        <v>137</v>
      </c>
      <c r="D563">
        <v>2</v>
      </c>
      <c r="E563">
        <v>1030000</v>
      </c>
      <c r="F563">
        <v>38715598</v>
      </c>
      <c r="G563">
        <v>1000</v>
      </c>
      <c r="H563" t="str">
        <f>IF(C563=C562,"",COUNTIF(G563,1000)+COUNTIF(G563,2000))</f>
        <v/>
      </c>
      <c r="I563" t="str">
        <f>IF(H563=0,"",IF(C563=C562,"",SUM($H$3:H563)))</f>
        <v/>
      </c>
    </row>
    <row r="564" spans="2:9">
      <c r="B564" s="164">
        <v>45820</v>
      </c>
      <c r="C564" t="s">
        <v>137</v>
      </c>
      <c r="D564">
        <v>2</v>
      </c>
      <c r="E564">
        <v>1030000</v>
      </c>
      <c r="F564">
        <v>38715598</v>
      </c>
      <c r="G564">
        <v>1000</v>
      </c>
      <c r="H564" t="str">
        <f>IF(C564=C563,"",COUNTIF(G564,1000)+COUNTIF(G564,2000))</f>
        <v/>
      </c>
      <c r="I564" t="str">
        <f>IF(H564=0,"",IF(C564=C563,"",SUM($H$3:H564)))</f>
        <v/>
      </c>
    </row>
    <row r="565" spans="2:9">
      <c r="B565" s="164">
        <v>45820</v>
      </c>
      <c r="C565" t="s">
        <v>137</v>
      </c>
      <c r="D565">
        <v>1</v>
      </c>
      <c r="E565">
        <v>1030000</v>
      </c>
      <c r="F565">
        <v>38715598</v>
      </c>
      <c r="G565">
        <v>1000</v>
      </c>
      <c r="H565" t="str">
        <f>IF(C565=C564,"",COUNTIF(G565,1000)+COUNTIF(G565,2000))</f>
        <v/>
      </c>
      <c r="I565" t="str">
        <f>IF(H565=0,"",IF(C565=C564,"",SUM($H$3:H565)))</f>
        <v/>
      </c>
    </row>
    <row r="566" spans="2:9">
      <c r="B566" s="164">
        <v>45820</v>
      </c>
      <c r="C566" t="s">
        <v>137</v>
      </c>
      <c r="D566">
        <v>1</v>
      </c>
      <c r="E566">
        <v>1030000</v>
      </c>
      <c r="F566">
        <v>38715598</v>
      </c>
      <c r="G566">
        <v>1000</v>
      </c>
      <c r="H566" t="str">
        <f>IF(C566=C565,"",COUNTIF(G566,1000)+COUNTIF(G566,2000))</f>
        <v/>
      </c>
      <c r="I566" t="str">
        <f>IF(H566=0,"",IF(C566=C565,"",SUM($H$3:H566)))</f>
        <v/>
      </c>
    </row>
    <row r="567" spans="2:9">
      <c r="B567" s="164">
        <v>45820</v>
      </c>
      <c r="C567" t="s">
        <v>137</v>
      </c>
      <c r="D567">
        <v>1</v>
      </c>
      <c r="E567">
        <v>1030000</v>
      </c>
      <c r="F567">
        <v>38715598</v>
      </c>
      <c r="G567">
        <v>1000</v>
      </c>
      <c r="H567" t="str">
        <f>IF(C567=C566,"",COUNTIF(G567,1000)+COUNTIF(G567,2000))</f>
        <v/>
      </c>
      <c r="I567" t="str">
        <f>IF(H567=0,"",IF(C567=C566,"",SUM($H$3:H567)))</f>
        <v/>
      </c>
    </row>
    <row r="568" spans="2:9">
      <c r="B568" s="164">
        <v>45820</v>
      </c>
      <c r="C568" t="s">
        <v>137</v>
      </c>
      <c r="D568">
        <v>2</v>
      </c>
      <c r="E568">
        <v>1030000</v>
      </c>
      <c r="F568">
        <v>38715598</v>
      </c>
      <c r="G568">
        <v>1000</v>
      </c>
      <c r="H568" t="str">
        <f>IF(C568=C567,"",COUNTIF(G568,1000)+COUNTIF(G568,2000))</f>
        <v/>
      </c>
      <c r="I568" t="str">
        <f>IF(H568=0,"",IF(C568=C567,"",SUM($H$3:H568)))</f>
        <v/>
      </c>
    </row>
    <row r="569" spans="2:9">
      <c r="B569" s="164">
        <v>45834</v>
      </c>
      <c r="C569" t="s">
        <v>139</v>
      </c>
      <c r="D569">
        <v>1</v>
      </c>
      <c r="E569">
        <v>960000</v>
      </c>
      <c r="F569">
        <v>35331688</v>
      </c>
      <c r="G569">
        <v>1000</v>
      </c>
      <c r="H569">
        <f>IF(C569=C568,"",COUNTIF(G569,1000)+COUNTIF(G569,2000))</f>
        <v>1</v>
      </c>
      <c r="I569">
        <f>IF(H569=0,"",IF(C569=C568,"",SUM($H$3:H569)))</f>
        <v>13</v>
      </c>
    </row>
    <row r="570" spans="2:9">
      <c r="B570" s="164">
        <v>45834</v>
      </c>
      <c r="C570" t="s">
        <v>139</v>
      </c>
      <c r="D570">
        <v>3</v>
      </c>
      <c r="E570">
        <v>960000</v>
      </c>
      <c r="F570">
        <v>35331688</v>
      </c>
      <c r="G570">
        <v>1000</v>
      </c>
      <c r="H570" t="str">
        <f>IF(C570=C569,"",COUNTIF(G570,1000)+COUNTIF(G570,2000))</f>
        <v/>
      </c>
      <c r="I570" t="str">
        <f>IF(H570=0,"",IF(C570=C569,"",SUM($H$3:H570)))</f>
        <v/>
      </c>
    </row>
    <row r="571" spans="2:9">
      <c r="B571" s="164">
        <v>45834</v>
      </c>
      <c r="C571" t="s">
        <v>139</v>
      </c>
      <c r="D571">
        <v>3</v>
      </c>
      <c r="E571">
        <v>960000</v>
      </c>
      <c r="F571">
        <v>35331688</v>
      </c>
      <c r="G571">
        <v>1000</v>
      </c>
      <c r="H571" t="str">
        <f>IF(C571=C570,"",COUNTIF(G571,1000)+COUNTIF(G571,2000))</f>
        <v/>
      </c>
      <c r="I571" t="str">
        <f>IF(H571=0,"",IF(C571=C570,"",SUM($H$3:H571)))</f>
        <v/>
      </c>
    </row>
    <row r="572" spans="2:9">
      <c r="B572" s="164">
        <v>45834</v>
      </c>
      <c r="C572" t="s">
        <v>139</v>
      </c>
      <c r="D572">
        <v>3</v>
      </c>
      <c r="E572">
        <v>960000</v>
      </c>
      <c r="F572">
        <v>35331688</v>
      </c>
      <c r="G572">
        <v>1000</v>
      </c>
      <c r="H572" t="str">
        <f>IF(C572=C571,"",COUNTIF(G572,1000)+COUNTIF(G572,2000))</f>
        <v/>
      </c>
      <c r="I572" t="str">
        <f>IF(H572=0,"",IF(C572=C571,"",SUM($H$3:H572)))</f>
        <v/>
      </c>
    </row>
    <row r="573" spans="2:9">
      <c r="B573" s="164">
        <v>45834</v>
      </c>
      <c r="C573" t="s">
        <v>139</v>
      </c>
      <c r="D573">
        <v>3</v>
      </c>
      <c r="E573">
        <v>960000</v>
      </c>
      <c r="F573">
        <v>35331688</v>
      </c>
      <c r="G573">
        <v>1000</v>
      </c>
      <c r="H573" t="str">
        <f>IF(C573=C572,"",COUNTIF(G573,1000)+COUNTIF(G573,2000))</f>
        <v/>
      </c>
      <c r="I573" t="str">
        <f>IF(H573=0,"",IF(C573=C572,"",SUM($H$3:H573)))</f>
        <v/>
      </c>
    </row>
    <row r="574" spans="2:9">
      <c r="B574" s="164">
        <v>45834</v>
      </c>
      <c r="C574" t="s">
        <v>139</v>
      </c>
      <c r="D574">
        <v>3</v>
      </c>
      <c r="E574">
        <v>960000</v>
      </c>
      <c r="F574">
        <v>35331688</v>
      </c>
      <c r="G574">
        <v>1000</v>
      </c>
      <c r="H574" t="str">
        <f>IF(C574=C573,"",COUNTIF(G574,1000)+COUNTIF(G574,2000))</f>
        <v/>
      </c>
      <c r="I574" t="str">
        <f>IF(H574=0,"",IF(C574=C573,"",SUM($H$3:H574)))</f>
        <v/>
      </c>
    </row>
    <row r="575" spans="2:9">
      <c r="B575" s="164">
        <v>45834</v>
      </c>
      <c r="C575" t="s">
        <v>139</v>
      </c>
      <c r="D575">
        <v>3</v>
      </c>
      <c r="E575">
        <v>960000</v>
      </c>
      <c r="F575">
        <v>35331688</v>
      </c>
      <c r="G575">
        <v>1000</v>
      </c>
      <c r="H575" t="str">
        <f>IF(C575=C574,"",COUNTIF(G575,1000)+COUNTIF(G575,2000))</f>
        <v/>
      </c>
      <c r="I575" t="str">
        <f>IF(H575=0,"",IF(C575=C574,"",SUM($H$3:H575)))</f>
        <v/>
      </c>
    </row>
    <row r="576" spans="2:9">
      <c r="B576" s="164">
        <v>45834</v>
      </c>
      <c r="C576" t="s">
        <v>139</v>
      </c>
      <c r="D576">
        <v>2</v>
      </c>
      <c r="E576">
        <v>960000</v>
      </c>
      <c r="F576">
        <v>35331688</v>
      </c>
      <c r="G576">
        <v>1000</v>
      </c>
      <c r="H576" t="str">
        <f>IF(C576=C575,"",COUNTIF(G576,1000)+COUNTIF(G576,2000))</f>
        <v/>
      </c>
      <c r="I576" t="str">
        <f>IF(H576=0,"",IF(C576=C575,"",SUM($H$3:H576)))</f>
        <v/>
      </c>
    </row>
    <row r="577" spans="2:9">
      <c r="B577" s="164">
        <v>45834</v>
      </c>
      <c r="C577" t="s">
        <v>139</v>
      </c>
      <c r="D577">
        <v>2</v>
      </c>
      <c r="E577">
        <v>960000</v>
      </c>
      <c r="F577">
        <v>35331688</v>
      </c>
      <c r="G577">
        <v>1000</v>
      </c>
      <c r="H577" t="str">
        <f>IF(C577=C576,"",COUNTIF(G577,1000)+COUNTIF(G577,2000))</f>
        <v/>
      </c>
      <c r="I577" t="str">
        <f>IF(H577=0,"",IF(C577=C576,"",SUM($H$3:H577)))</f>
        <v/>
      </c>
    </row>
    <row r="578" spans="2:9">
      <c r="B578" s="164">
        <v>45834</v>
      </c>
      <c r="C578" t="s">
        <v>139</v>
      </c>
      <c r="D578">
        <v>2</v>
      </c>
      <c r="E578">
        <v>960000</v>
      </c>
      <c r="F578">
        <v>35331688</v>
      </c>
      <c r="G578">
        <v>1000</v>
      </c>
      <c r="H578" t="str">
        <f>IF(C578=C577,"",COUNTIF(G578,1000)+COUNTIF(G578,2000))</f>
        <v/>
      </c>
      <c r="I578" t="str">
        <f>IF(H578=0,"",IF(C578=C577,"",SUM($H$3:H578)))</f>
        <v/>
      </c>
    </row>
    <row r="579" spans="2:9">
      <c r="B579" s="164">
        <v>45834</v>
      </c>
      <c r="C579" t="s">
        <v>139</v>
      </c>
      <c r="D579">
        <v>2</v>
      </c>
      <c r="E579">
        <v>960000</v>
      </c>
      <c r="F579">
        <v>35331688</v>
      </c>
      <c r="G579">
        <v>1000</v>
      </c>
      <c r="H579" t="str">
        <f>IF(C579=C578,"",COUNTIF(G579,1000)+COUNTIF(G579,2000))</f>
        <v/>
      </c>
      <c r="I579" t="str">
        <f>IF(H579=0,"",IF(C579=C578,"",SUM($H$3:H579)))</f>
        <v/>
      </c>
    </row>
    <row r="580" spans="2:9">
      <c r="B580" s="164">
        <v>45834</v>
      </c>
      <c r="C580" t="s">
        <v>139</v>
      </c>
      <c r="D580">
        <v>2</v>
      </c>
      <c r="E580">
        <v>960000</v>
      </c>
      <c r="F580">
        <v>35331688</v>
      </c>
      <c r="G580">
        <v>1000</v>
      </c>
      <c r="H580" t="str">
        <f>IF(C580=C579,"",COUNTIF(G580,1000)+COUNTIF(G580,2000))</f>
        <v/>
      </c>
      <c r="I580" t="str">
        <f>IF(H580=0,"",IF(C580=C579,"",SUM($H$3:H580)))</f>
        <v/>
      </c>
    </row>
    <row r="581" spans="2:9">
      <c r="B581" s="164">
        <v>45834</v>
      </c>
      <c r="C581" t="s">
        <v>139</v>
      </c>
      <c r="D581">
        <v>2</v>
      </c>
      <c r="E581">
        <v>960000</v>
      </c>
      <c r="F581">
        <v>35331688</v>
      </c>
      <c r="G581">
        <v>1000</v>
      </c>
      <c r="H581" t="str">
        <f>IF(C581=C580,"",COUNTIF(G581,1000)+COUNTIF(G581,2000))</f>
        <v/>
      </c>
      <c r="I581" t="str">
        <f>IF(H581=0,"",IF(C581=C580,"",SUM($H$3:H581)))</f>
        <v/>
      </c>
    </row>
    <row r="582" spans="2:9">
      <c r="B582" s="164">
        <v>45834</v>
      </c>
      <c r="C582" t="s">
        <v>139</v>
      </c>
      <c r="D582">
        <v>2</v>
      </c>
      <c r="E582">
        <v>960000</v>
      </c>
      <c r="F582">
        <v>35331688</v>
      </c>
      <c r="G582">
        <v>1000</v>
      </c>
      <c r="H582" t="str">
        <f>IF(C582=C581,"",COUNTIF(G582,1000)+COUNTIF(G582,2000))</f>
        <v/>
      </c>
      <c r="I582" t="str">
        <f>IF(H582=0,"",IF(C582=C581,"",SUM($H$3:H582)))</f>
        <v/>
      </c>
    </row>
    <row r="583" spans="2:9">
      <c r="B583" s="164">
        <v>45834</v>
      </c>
      <c r="C583" t="s">
        <v>139</v>
      </c>
      <c r="D583">
        <v>2</v>
      </c>
      <c r="E583">
        <v>960000</v>
      </c>
      <c r="F583">
        <v>35331688</v>
      </c>
      <c r="G583">
        <v>1000</v>
      </c>
      <c r="H583" t="str">
        <f>IF(C583=C582,"",COUNTIF(G583,1000)+COUNTIF(G583,2000))</f>
        <v/>
      </c>
      <c r="I583" t="str">
        <f>IF(H583=0,"",IF(C583=C582,"",SUM($H$3:H583)))</f>
        <v/>
      </c>
    </row>
    <row r="584" spans="2:9">
      <c r="B584" s="164">
        <v>45834</v>
      </c>
      <c r="C584" t="s">
        <v>139</v>
      </c>
      <c r="D584">
        <v>2</v>
      </c>
      <c r="E584">
        <v>960000</v>
      </c>
      <c r="F584">
        <v>35331688</v>
      </c>
      <c r="G584">
        <v>1000</v>
      </c>
      <c r="H584" t="str">
        <f>IF(C584=C583,"",COUNTIF(G584,1000)+COUNTIF(G584,2000))</f>
        <v/>
      </c>
      <c r="I584" t="str">
        <f>IF(H584=0,"",IF(C584=C583,"",SUM($H$3:H584)))</f>
        <v/>
      </c>
    </row>
    <row r="585" spans="2:9">
      <c r="B585" s="164">
        <v>45834</v>
      </c>
      <c r="C585" t="s">
        <v>139</v>
      </c>
      <c r="D585">
        <v>2</v>
      </c>
      <c r="E585">
        <v>960000</v>
      </c>
      <c r="F585">
        <v>35331688</v>
      </c>
      <c r="G585">
        <v>1000</v>
      </c>
      <c r="H585" t="str">
        <f>IF(C585=C584,"",COUNTIF(G585,1000)+COUNTIF(G585,2000))</f>
        <v/>
      </c>
      <c r="I585" t="str">
        <f>IF(H585=0,"",IF(C585=C584,"",SUM($H$3:H585)))</f>
        <v/>
      </c>
    </row>
    <row r="586" spans="2:9">
      <c r="B586" s="164">
        <v>45834</v>
      </c>
      <c r="C586" t="s">
        <v>139</v>
      </c>
      <c r="D586">
        <v>2</v>
      </c>
      <c r="E586">
        <v>960000</v>
      </c>
      <c r="F586">
        <v>35331688</v>
      </c>
      <c r="G586">
        <v>1000</v>
      </c>
      <c r="H586" t="str">
        <f>IF(C586=C585,"",COUNTIF(G586,1000)+COUNTIF(G586,2000))</f>
        <v/>
      </c>
      <c r="I586" t="str">
        <f>IF(H586=0,"",IF(C586=C585,"",SUM($H$3:H586)))</f>
        <v/>
      </c>
    </row>
    <row r="587" spans="2:9">
      <c r="B587" s="164">
        <v>45834</v>
      </c>
      <c r="C587" t="s">
        <v>139</v>
      </c>
      <c r="D587">
        <v>3</v>
      </c>
      <c r="E587">
        <v>960000</v>
      </c>
      <c r="F587">
        <v>35331688</v>
      </c>
      <c r="G587">
        <v>1000</v>
      </c>
      <c r="H587" t="str">
        <f>IF(C587=C586,"",COUNTIF(G587,1000)+COUNTIF(G587,2000))</f>
        <v/>
      </c>
      <c r="I587" t="str">
        <f>IF(H587=0,"",IF(C587=C586,"",SUM($H$3:H587)))</f>
        <v/>
      </c>
    </row>
    <row r="588" spans="2:9">
      <c r="B588" s="164">
        <v>45834</v>
      </c>
      <c r="C588" t="s">
        <v>139</v>
      </c>
      <c r="D588">
        <v>3</v>
      </c>
      <c r="E588">
        <v>960000</v>
      </c>
      <c r="F588">
        <v>35331688</v>
      </c>
      <c r="G588">
        <v>1000</v>
      </c>
      <c r="H588" t="str">
        <f>IF(C588=C587,"",COUNTIF(G588,1000)+COUNTIF(G588,2000))</f>
        <v/>
      </c>
      <c r="I588" t="str">
        <f>IF(H588=0,"",IF(C588=C587,"",SUM($H$3:H588)))</f>
        <v/>
      </c>
    </row>
    <row r="589" spans="2:9">
      <c r="B589" s="164">
        <v>45834</v>
      </c>
      <c r="C589" t="s">
        <v>139</v>
      </c>
      <c r="D589">
        <v>3</v>
      </c>
      <c r="E589">
        <v>960000</v>
      </c>
      <c r="F589">
        <v>35331688</v>
      </c>
      <c r="G589">
        <v>1000</v>
      </c>
      <c r="H589" t="str">
        <f>IF(C589=C588,"",COUNTIF(G589,1000)+COUNTIF(G589,2000))</f>
        <v/>
      </c>
      <c r="I589" t="str">
        <f>IF(H589=0,"",IF(C589=C588,"",SUM($H$3:H589)))</f>
        <v/>
      </c>
    </row>
    <row r="590" spans="2:9">
      <c r="B590" s="164">
        <v>45834</v>
      </c>
      <c r="C590" t="s">
        <v>139</v>
      </c>
      <c r="D590">
        <v>3</v>
      </c>
      <c r="E590">
        <v>960000</v>
      </c>
      <c r="F590">
        <v>35331688</v>
      </c>
      <c r="G590">
        <v>1000</v>
      </c>
      <c r="H590" t="str">
        <f>IF(C590=C589,"",COUNTIF(G590,1000)+COUNTIF(G590,2000))</f>
        <v/>
      </c>
      <c r="I590" t="str">
        <f>IF(H590=0,"",IF(C590=C589,"",SUM($H$3:H590)))</f>
        <v/>
      </c>
    </row>
    <row r="591" spans="2:9">
      <c r="B591" s="164">
        <v>45834</v>
      </c>
      <c r="C591" t="s">
        <v>139</v>
      </c>
      <c r="D591">
        <v>2</v>
      </c>
      <c r="E591">
        <v>960000</v>
      </c>
      <c r="F591">
        <v>35331688</v>
      </c>
      <c r="G591">
        <v>1000</v>
      </c>
      <c r="H591" t="str">
        <f>IF(C591=C590,"",COUNTIF(G591,1000)+COUNTIF(G591,2000))</f>
        <v/>
      </c>
      <c r="I591" t="str">
        <f>IF(H591=0,"",IF(C591=C590,"",SUM($H$3:H591)))</f>
        <v/>
      </c>
    </row>
    <row r="592" spans="2:9">
      <c r="B592" s="164">
        <v>45834</v>
      </c>
      <c r="C592" t="s">
        <v>139</v>
      </c>
      <c r="D592">
        <v>2</v>
      </c>
      <c r="E592">
        <v>960000</v>
      </c>
      <c r="F592">
        <v>35331688</v>
      </c>
      <c r="G592">
        <v>1000</v>
      </c>
      <c r="H592" t="str">
        <f>IF(C592=C591,"",COUNTIF(G592,1000)+COUNTIF(G592,2000))</f>
        <v/>
      </c>
      <c r="I592" t="str">
        <f>IF(H592=0,"",IF(C592=C591,"",SUM($H$3:H592)))</f>
        <v/>
      </c>
    </row>
    <row r="593" spans="2:9">
      <c r="B593" s="164">
        <v>45834</v>
      </c>
      <c r="C593" t="s">
        <v>139</v>
      </c>
      <c r="D593">
        <v>2</v>
      </c>
      <c r="E593">
        <v>960000</v>
      </c>
      <c r="F593">
        <v>35331688</v>
      </c>
      <c r="G593">
        <v>1000</v>
      </c>
      <c r="H593" t="str">
        <f>IF(C593=C592,"",COUNTIF(G593,1000)+COUNTIF(G593,2000))</f>
        <v/>
      </c>
      <c r="I593" t="str">
        <f>IF(H593=0,"",IF(C593=C592,"",SUM($H$3:H593)))</f>
        <v/>
      </c>
    </row>
    <row r="594" spans="2:9">
      <c r="B594" s="164">
        <v>45834</v>
      </c>
      <c r="C594" t="s">
        <v>139</v>
      </c>
      <c r="D594">
        <v>2</v>
      </c>
      <c r="E594">
        <v>960000</v>
      </c>
      <c r="F594">
        <v>35331688</v>
      </c>
      <c r="G594">
        <v>1000</v>
      </c>
      <c r="H594" t="str">
        <f>IF(C594=C593,"",COUNTIF(G594,1000)+COUNTIF(G594,2000))</f>
        <v/>
      </c>
      <c r="I594" t="str">
        <f>IF(H594=0,"",IF(C594=C593,"",SUM($H$3:H594)))</f>
        <v/>
      </c>
    </row>
    <row r="595" spans="2:9">
      <c r="B595" s="164">
        <v>45834</v>
      </c>
      <c r="C595" t="s">
        <v>139</v>
      </c>
      <c r="D595">
        <v>2</v>
      </c>
      <c r="E595">
        <v>960000</v>
      </c>
      <c r="F595">
        <v>35331688</v>
      </c>
      <c r="G595">
        <v>1000</v>
      </c>
      <c r="H595" t="str">
        <f>IF(C595=C594,"",COUNTIF(G595,1000)+COUNTIF(G595,2000))</f>
        <v/>
      </c>
      <c r="I595" t="str">
        <f>IF(H595=0,"",IF(C595=C594,"",SUM($H$3:H595)))</f>
        <v/>
      </c>
    </row>
    <row r="596" spans="2:9">
      <c r="B596" s="164">
        <v>45834</v>
      </c>
      <c r="C596" t="s">
        <v>139</v>
      </c>
      <c r="D596">
        <v>1</v>
      </c>
      <c r="E596">
        <v>960000</v>
      </c>
      <c r="F596">
        <v>35331688</v>
      </c>
      <c r="G596">
        <v>1000</v>
      </c>
      <c r="H596" t="str">
        <f>IF(C596=C595,"",COUNTIF(G596,1000)+COUNTIF(G596,2000))</f>
        <v/>
      </c>
      <c r="I596" t="str">
        <f>IF(H596=0,"",IF(C596=C595,"",SUM($H$3:H596)))</f>
        <v/>
      </c>
    </row>
    <row r="597" spans="2:9">
      <c r="B597" s="164">
        <v>45834</v>
      </c>
      <c r="C597" t="s">
        <v>139</v>
      </c>
      <c r="D597">
        <v>1</v>
      </c>
      <c r="E597">
        <v>960000</v>
      </c>
      <c r="F597">
        <v>35331688</v>
      </c>
      <c r="G597">
        <v>1000</v>
      </c>
      <c r="H597" t="str">
        <f>IF(C597=C596,"",COUNTIF(G597,1000)+COUNTIF(G597,2000))</f>
        <v/>
      </c>
      <c r="I597" t="str">
        <f>IF(H597=0,"",IF(C597=C596,"",SUM($H$3:H597)))</f>
        <v/>
      </c>
    </row>
    <row r="598" spans="2:9">
      <c r="B598" s="164">
        <v>45834</v>
      </c>
      <c r="C598" t="s">
        <v>139</v>
      </c>
      <c r="D598">
        <v>1</v>
      </c>
      <c r="E598">
        <v>960000</v>
      </c>
      <c r="F598">
        <v>35331688</v>
      </c>
      <c r="G598">
        <v>1000</v>
      </c>
      <c r="H598" t="str">
        <f>IF(C598=C597,"",COUNTIF(G598,1000)+COUNTIF(G598,2000))</f>
        <v/>
      </c>
      <c r="I598" t="str">
        <f>IF(H598=0,"",IF(C598=C597,"",SUM($H$3:H598)))</f>
        <v/>
      </c>
    </row>
    <row r="599" spans="2:9">
      <c r="B599" s="164">
        <v>45834</v>
      </c>
      <c r="C599" t="s">
        <v>139</v>
      </c>
      <c r="D599">
        <v>1</v>
      </c>
      <c r="E599">
        <v>960000</v>
      </c>
      <c r="F599">
        <v>35331688</v>
      </c>
      <c r="G599">
        <v>1000</v>
      </c>
      <c r="H599" t="str">
        <f>IF(C599=C598,"",COUNTIF(G599,1000)+COUNTIF(G599,2000))</f>
        <v/>
      </c>
      <c r="I599" t="str">
        <f>IF(H599=0,"",IF(C599=C598,"",SUM($H$3:H599)))</f>
        <v/>
      </c>
    </row>
    <row r="600" spans="2:9">
      <c r="B600" s="164">
        <v>45834</v>
      </c>
      <c r="C600" t="s">
        <v>139</v>
      </c>
      <c r="D600">
        <v>3</v>
      </c>
      <c r="E600">
        <v>960000</v>
      </c>
      <c r="F600">
        <v>35331688</v>
      </c>
      <c r="G600">
        <v>1000</v>
      </c>
      <c r="H600" t="str">
        <f>IF(C600=C599,"",COUNTIF(G600,1000)+COUNTIF(G600,2000))</f>
        <v/>
      </c>
      <c r="I600" t="str">
        <f>IF(H600=0,"",IF(C600=C599,"",SUM($H$3:H600)))</f>
        <v/>
      </c>
    </row>
    <row r="601" spans="2:9">
      <c r="B601" s="164">
        <v>45834</v>
      </c>
      <c r="C601" t="s">
        <v>139</v>
      </c>
      <c r="D601">
        <v>3</v>
      </c>
      <c r="E601">
        <v>960000</v>
      </c>
      <c r="F601">
        <v>35331688</v>
      </c>
      <c r="G601">
        <v>1000</v>
      </c>
      <c r="H601" t="str">
        <f>IF(C601=C600,"",COUNTIF(G601,1000)+COUNTIF(G601,2000))</f>
        <v/>
      </c>
      <c r="I601" t="str">
        <f>IF(H601=0,"",IF(C601=C600,"",SUM($H$3:H601)))</f>
        <v/>
      </c>
    </row>
    <row r="602" spans="2:9">
      <c r="B602" s="164">
        <v>45834</v>
      </c>
      <c r="C602" t="s">
        <v>139</v>
      </c>
      <c r="D602">
        <v>2</v>
      </c>
      <c r="E602">
        <v>960000</v>
      </c>
      <c r="F602">
        <v>35331688</v>
      </c>
      <c r="G602">
        <v>1000</v>
      </c>
      <c r="H602" t="str">
        <f>IF(C602=C601,"",COUNTIF(G602,1000)+COUNTIF(G602,2000))</f>
        <v/>
      </c>
      <c r="I602" t="str">
        <f>IF(H602=0,"",IF(C602=C601,"",SUM($H$3:H602)))</f>
        <v/>
      </c>
    </row>
    <row r="603" spans="2:9">
      <c r="B603" s="164">
        <v>45834</v>
      </c>
      <c r="C603" t="s">
        <v>139</v>
      </c>
      <c r="D603">
        <v>2</v>
      </c>
      <c r="E603">
        <v>960000</v>
      </c>
      <c r="F603">
        <v>35331688</v>
      </c>
      <c r="G603">
        <v>1000</v>
      </c>
      <c r="H603" t="str">
        <f>IF(C603=C602,"",COUNTIF(G603,1000)+COUNTIF(G603,2000))</f>
        <v/>
      </c>
      <c r="I603" t="str">
        <f>IF(H603=0,"",IF(C603=C602,"",SUM($H$3:H603)))</f>
        <v/>
      </c>
    </row>
    <row r="604" spans="2:9">
      <c r="B604" s="164">
        <v>45834</v>
      </c>
      <c r="C604" t="s">
        <v>139</v>
      </c>
      <c r="D604">
        <v>2</v>
      </c>
      <c r="E604">
        <v>960000</v>
      </c>
      <c r="F604">
        <v>35331688</v>
      </c>
      <c r="G604">
        <v>1000</v>
      </c>
      <c r="H604" t="str">
        <f>IF(C604=C603,"",COUNTIF(G604,1000)+COUNTIF(G604,2000))</f>
        <v/>
      </c>
      <c r="I604" t="str">
        <f>IF(H604=0,"",IF(C604=C603,"",SUM($H$3:H604)))</f>
        <v/>
      </c>
    </row>
    <row r="605" spans="2:9">
      <c r="B605" s="164">
        <v>45834</v>
      </c>
      <c r="C605" t="s">
        <v>139</v>
      </c>
      <c r="D605">
        <v>2</v>
      </c>
      <c r="E605">
        <v>960000</v>
      </c>
      <c r="F605">
        <v>35331688</v>
      </c>
      <c r="G605">
        <v>1000</v>
      </c>
      <c r="H605" t="str">
        <f>IF(C605=C604,"",COUNTIF(G605,1000)+COUNTIF(G605,2000))</f>
        <v/>
      </c>
      <c r="I605" t="str">
        <f>IF(H605=0,"",IF(C605=C604,"",SUM($H$3:H605)))</f>
        <v/>
      </c>
    </row>
    <row r="606" spans="2:9">
      <c r="B606" s="164">
        <v>45834</v>
      </c>
      <c r="C606" t="s">
        <v>139</v>
      </c>
      <c r="D606">
        <v>2</v>
      </c>
      <c r="E606">
        <v>960000</v>
      </c>
      <c r="F606">
        <v>35331688</v>
      </c>
      <c r="G606">
        <v>1000</v>
      </c>
      <c r="H606" t="str">
        <f>IF(C606=C605,"",COUNTIF(G606,1000)+COUNTIF(G606,2000))</f>
        <v/>
      </c>
      <c r="I606" t="str">
        <f>IF(H606=0,"",IF(C606=C605,"",SUM($H$3:H606)))</f>
        <v/>
      </c>
    </row>
    <row r="607" spans="2:9">
      <c r="B607" s="164">
        <v>45834</v>
      </c>
      <c r="C607" t="s">
        <v>139</v>
      </c>
      <c r="D607">
        <v>2</v>
      </c>
      <c r="E607">
        <v>960000</v>
      </c>
      <c r="F607">
        <v>35331688</v>
      </c>
      <c r="G607">
        <v>1000</v>
      </c>
      <c r="H607" t="str">
        <f>IF(C607=C606,"",COUNTIF(G607,1000)+COUNTIF(G607,2000))</f>
        <v/>
      </c>
      <c r="I607" t="str">
        <f>IF(H607=0,"",IF(C607=C606,"",SUM($H$3:H607)))</f>
        <v/>
      </c>
    </row>
    <row r="608" spans="2:9">
      <c r="B608" s="164">
        <v>45834</v>
      </c>
      <c r="C608" t="s">
        <v>139</v>
      </c>
      <c r="D608">
        <v>2</v>
      </c>
      <c r="E608">
        <v>960000</v>
      </c>
      <c r="F608">
        <v>35331688</v>
      </c>
      <c r="G608">
        <v>1000</v>
      </c>
      <c r="H608" t="str">
        <f>IF(C608=C607,"",COUNTIF(G608,1000)+COUNTIF(G608,2000))</f>
        <v/>
      </c>
      <c r="I608" t="str">
        <f>IF(H608=0,"",IF(C608=C607,"",SUM($H$3:H608)))</f>
        <v/>
      </c>
    </row>
    <row r="609" spans="2:9">
      <c r="B609" s="164">
        <v>45834</v>
      </c>
      <c r="C609" t="s">
        <v>139</v>
      </c>
      <c r="D609">
        <v>2</v>
      </c>
      <c r="E609">
        <v>960000</v>
      </c>
      <c r="F609">
        <v>35331688</v>
      </c>
      <c r="G609">
        <v>1000</v>
      </c>
      <c r="H609" t="str">
        <f>IF(C609=C608,"",COUNTIF(G609,1000)+COUNTIF(G609,2000))</f>
        <v/>
      </c>
      <c r="I609" t="str">
        <f>IF(H609=0,"",IF(C609=C608,"",SUM($H$3:H609)))</f>
        <v/>
      </c>
    </row>
    <row r="610" spans="2:9">
      <c r="B610" s="164">
        <v>45834</v>
      </c>
      <c r="C610" t="s">
        <v>139</v>
      </c>
      <c r="D610">
        <v>2</v>
      </c>
      <c r="E610">
        <v>960000</v>
      </c>
      <c r="F610">
        <v>35331688</v>
      </c>
      <c r="G610">
        <v>1000</v>
      </c>
      <c r="H610" t="str">
        <f>IF(C610=C609,"",COUNTIF(G610,1000)+COUNTIF(G610,2000))</f>
        <v/>
      </c>
      <c r="I610" t="str">
        <f>IF(H610=0,"",IF(C610=C609,"",SUM($H$3:H610)))</f>
        <v/>
      </c>
    </row>
    <row r="611" spans="2:9">
      <c r="B611" s="164">
        <v>45834</v>
      </c>
      <c r="C611" t="s">
        <v>139</v>
      </c>
      <c r="D611">
        <v>3</v>
      </c>
      <c r="E611">
        <v>960000</v>
      </c>
      <c r="F611">
        <v>35331688</v>
      </c>
      <c r="G611">
        <v>1000</v>
      </c>
      <c r="H611" t="str">
        <f>IF(C611=C610,"",COUNTIF(G611,1000)+COUNTIF(G611,2000))</f>
        <v/>
      </c>
      <c r="I611" t="str">
        <f>IF(H611=0,"",IF(C611=C610,"",SUM($H$3:H611)))</f>
        <v/>
      </c>
    </row>
    <row r="612" spans="2:9">
      <c r="B612" s="164">
        <v>45834</v>
      </c>
      <c r="C612" t="s">
        <v>139</v>
      </c>
      <c r="D612">
        <v>3</v>
      </c>
      <c r="E612">
        <v>960000</v>
      </c>
      <c r="F612">
        <v>35331688</v>
      </c>
      <c r="G612">
        <v>1000</v>
      </c>
      <c r="H612" t="str">
        <f>IF(C612=C611,"",COUNTIF(G612,1000)+COUNTIF(G612,2000))</f>
        <v/>
      </c>
      <c r="I612" t="str">
        <f>IF(H612=0,"",IF(C612=C611,"",SUM($H$3:H612)))</f>
        <v/>
      </c>
    </row>
    <row r="613" spans="2:9">
      <c r="B613" s="164">
        <v>45834</v>
      </c>
      <c r="C613" t="s">
        <v>139</v>
      </c>
      <c r="D613">
        <v>3</v>
      </c>
      <c r="E613">
        <v>960000</v>
      </c>
      <c r="F613">
        <v>35331688</v>
      </c>
      <c r="G613">
        <v>1000</v>
      </c>
      <c r="H613" t="str">
        <f>IF(C613=C612,"",COUNTIF(G613,1000)+COUNTIF(G613,2000))</f>
        <v/>
      </c>
      <c r="I613" t="str">
        <f>IF(H613=0,"",IF(C613=C612,"",SUM($H$3:H613)))</f>
        <v/>
      </c>
    </row>
    <row r="614" spans="2:9">
      <c r="B614" s="164">
        <v>45834</v>
      </c>
      <c r="C614" t="s">
        <v>139</v>
      </c>
      <c r="D614">
        <v>3</v>
      </c>
      <c r="E614">
        <v>960000</v>
      </c>
      <c r="F614">
        <v>35331688</v>
      </c>
      <c r="G614">
        <v>1000</v>
      </c>
      <c r="H614" t="str">
        <f>IF(C614=C613,"",COUNTIF(G614,1000)+COUNTIF(G614,2000))</f>
        <v/>
      </c>
      <c r="I614" t="str">
        <f>IF(H614=0,"",IF(C614=C613,"",SUM($H$3:H614)))</f>
        <v/>
      </c>
    </row>
    <row r="615" spans="2:9">
      <c r="B615" s="164">
        <v>45834</v>
      </c>
      <c r="C615" t="s">
        <v>139</v>
      </c>
      <c r="D615">
        <v>3</v>
      </c>
      <c r="E615">
        <v>960000</v>
      </c>
      <c r="F615">
        <v>35331688</v>
      </c>
      <c r="G615">
        <v>1000</v>
      </c>
      <c r="H615" t="str">
        <f>IF(C615=C614,"",COUNTIF(G615,1000)+COUNTIF(G615,2000))</f>
        <v/>
      </c>
      <c r="I615" t="str">
        <f>IF(H615=0,"",IF(C615=C614,"",SUM($H$3:H615)))</f>
        <v/>
      </c>
    </row>
    <row r="616" spans="2:9">
      <c r="B616" s="164">
        <v>45834</v>
      </c>
      <c r="C616" t="s">
        <v>139</v>
      </c>
      <c r="D616">
        <v>2</v>
      </c>
      <c r="E616">
        <v>960000</v>
      </c>
      <c r="F616">
        <v>35331688</v>
      </c>
      <c r="G616">
        <v>1000</v>
      </c>
      <c r="H616" t="str">
        <f>IF(C616=C615,"",COUNTIF(G616,1000)+COUNTIF(G616,2000))</f>
        <v/>
      </c>
      <c r="I616" t="str">
        <f>IF(H616=0,"",IF(C616=C615,"",SUM($H$3:H616)))</f>
        <v/>
      </c>
    </row>
    <row r="617" spans="2:9">
      <c r="B617" s="164">
        <v>45834</v>
      </c>
      <c r="C617" t="s">
        <v>139</v>
      </c>
      <c r="D617">
        <v>1</v>
      </c>
      <c r="E617">
        <v>960000</v>
      </c>
      <c r="F617">
        <v>35331688</v>
      </c>
      <c r="G617">
        <v>1000</v>
      </c>
      <c r="H617" t="str">
        <f>IF(C617=C616,"",COUNTIF(G617,1000)+COUNTIF(G617,2000))</f>
        <v/>
      </c>
      <c r="I617" t="str">
        <f>IF(H617=0,"",IF(C617=C616,"",SUM($H$3:H617)))</f>
        <v/>
      </c>
    </row>
    <row r="618" spans="2:9">
      <c r="B618" s="164">
        <v>45834</v>
      </c>
      <c r="C618" t="s">
        <v>139</v>
      </c>
      <c r="D618">
        <v>1</v>
      </c>
      <c r="E618">
        <v>960000</v>
      </c>
      <c r="F618">
        <v>35331688</v>
      </c>
      <c r="G618">
        <v>1000</v>
      </c>
      <c r="H618" t="str">
        <f>IF(C618=C617,"",COUNTIF(G618,1000)+COUNTIF(G618,2000))</f>
        <v/>
      </c>
      <c r="I618" t="str">
        <f>IF(H618=0,"",IF(C618=C617,"",SUM($H$3:H618)))</f>
        <v/>
      </c>
    </row>
    <row r="619" spans="2:9">
      <c r="B619" s="164">
        <v>45834</v>
      </c>
      <c r="C619" t="s">
        <v>139</v>
      </c>
      <c r="D619">
        <v>1</v>
      </c>
      <c r="E619">
        <v>960000</v>
      </c>
      <c r="F619">
        <v>35331688</v>
      </c>
      <c r="G619">
        <v>1000</v>
      </c>
      <c r="H619" t="str">
        <f>IF(C619=C618,"",COUNTIF(G619,1000)+COUNTIF(G619,2000))</f>
        <v/>
      </c>
      <c r="I619" t="str">
        <f>IF(H619=0,"",IF(C619=C618,"",SUM($H$3:H619)))</f>
        <v/>
      </c>
    </row>
    <row r="620" spans="2:9">
      <c r="B620" s="164">
        <v>45834</v>
      </c>
      <c r="C620" t="s">
        <v>139</v>
      </c>
      <c r="D620">
        <v>1</v>
      </c>
      <c r="E620">
        <v>960000</v>
      </c>
      <c r="F620">
        <v>35331688</v>
      </c>
      <c r="G620">
        <v>1000</v>
      </c>
      <c r="H620" t="str">
        <f>IF(C620=C619,"",COUNTIF(G620,1000)+COUNTIF(G620,2000))</f>
        <v/>
      </c>
      <c r="I620" t="str">
        <f>IF(H620=0,"",IF(C620=C619,"",SUM($H$3:H620)))</f>
        <v/>
      </c>
    </row>
    <row r="621" spans="2:9">
      <c r="B621" s="164">
        <v>45834</v>
      </c>
      <c r="C621" t="s">
        <v>139</v>
      </c>
      <c r="D621">
        <v>1</v>
      </c>
      <c r="E621">
        <v>960000</v>
      </c>
      <c r="F621">
        <v>35331688</v>
      </c>
      <c r="G621">
        <v>1000</v>
      </c>
      <c r="H621" t="str">
        <f>IF(C621=C620,"",COUNTIF(G621,1000)+COUNTIF(G621,2000))</f>
        <v/>
      </c>
      <c r="I621" t="str">
        <f>IF(H621=0,"",IF(C621=C620,"",SUM($H$3:H621)))</f>
        <v/>
      </c>
    </row>
    <row r="622" spans="2:9">
      <c r="B622" s="164">
        <v>45834</v>
      </c>
      <c r="C622" t="s">
        <v>139</v>
      </c>
      <c r="D622">
        <v>1</v>
      </c>
      <c r="E622">
        <v>960000</v>
      </c>
      <c r="F622">
        <v>35331688</v>
      </c>
      <c r="G622">
        <v>1000</v>
      </c>
      <c r="H622" t="str">
        <f>IF(C622=C621,"",COUNTIF(G622,1000)+COUNTIF(G622,2000))</f>
        <v/>
      </c>
      <c r="I622" t="str">
        <f>IF(H622=0,"",IF(C622=C621,"",SUM($H$3:H622)))</f>
        <v/>
      </c>
    </row>
    <row r="623" spans="2:9">
      <c r="B623" s="164">
        <v>45834</v>
      </c>
      <c r="C623" t="s">
        <v>139</v>
      </c>
      <c r="D623">
        <v>1</v>
      </c>
      <c r="E623">
        <v>960000</v>
      </c>
      <c r="F623">
        <v>35331688</v>
      </c>
      <c r="G623">
        <v>1000</v>
      </c>
      <c r="H623" t="str">
        <f>IF(C623=C622,"",COUNTIF(G623,1000)+COUNTIF(G623,2000))</f>
        <v/>
      </c>
      <c r="I623" t="str">
        <f>IF(H623=0,"",IF(C623=C622,"",SUM($H$3:H623)))</f>
        <v/>
      </c>
    </row>
    <row r="624" spans="2:9">
      <c r="B624" s="164">
        <v>45834</v>
      </c>
      <c r="C624" t="s">
        <v>139</v>
      </c>
      <c r="D624">
        <v>1</v>
      </c>
      <c r="E624">
        <v>960000</v>
      </c>
      <c r="F624">
        <v>35331688</v>
      </c>
      <c r="G624">
        <v>1000</v>
      </c>
      <c r="H624" t="str">
        <f>IF(C624=C623,"",COUNTIF(G624,1000)+COUNTIF(G624,2000))</f>
        <v/>
      </c>
      <c r="I624" t="str">
        <f>IF(H624=0,"",IF(C624=C623,"",SUM($H$3:H624)))</f>
        <v/>
      </c>
    </row>
    <row r="625" spans="2:9">
      <c r="B625" s="164">
        <v>45834</v>
      </c>
      <c r="C625" t="s">
        <v>139</v>
      </c>
      <c r="D625">
        <v>1</v>
      </c>
      <c r="E625">
        <v>960000</v>
      </c>
      <c r="F625">
        <v>35331688</v>
      </c>
      <c r="G625">
        <v>1000</v>
      </c>
      <c r="H625" t="str">
        <f>IF(C625=C624,"",COUNTIF(G625,1000)+COUNTIF(G625,2000))</f>
        <v/>
      </c>
      <c r="I625" t="str">
        <f>IF(H625=0,"",IF(C625=C624,"",SUM($H$3:H625)))</f>
        <v/>
      </c>
    </row>
    <row r="626" spans="2:9">
      <c r="B626" s="164">
        <v>45834</v>
      </c>
      <c r="C626" t="s">
        <v>139</v>
      </c>
      <c r="D626">
        <v>1</v>
      </c>
      <c r="E626">
        <v>960000</v>
      </c>
      <c r="F626">
        <v>35331688</v>
      </c>
      <c r="G626">
        <v>1000</v>
      </c>
      <c r="H626" t="str">
        <f>IF(C626=C625,"",COUNTIF(G626,1000)+COUNTIF(G626,2000))</f>
        <v/>
      </c>
      <c r="I626" t="str">
        <f>IF(H626=0,"",IF(C626=C625,"",SUM($H$3:H626)))</f>
        <v/>
      </c>
    </row>
    <row r="627" spans="2:9">
      <c r="B627" s="164">
        <v>45834</v>
      </c>
      <c r="C627" t="s">
        <v>139</v>
      </c>
      <c r="D627">
        <v>3</v>
      </c>
      <c r="E627">
        <v>960000</v>
      </c>
      <c r="F627">
        <v>35331688</v>
      </c>
      <c r="G627">
        <v>1000</v>
      </c>
      <c r="H627" t="str">
        <f>IF(C627=C626,"",COUNTIF(G627,1000)+COUNTIF(G627,2000))</f>
        <v/>
      </c>
      <c r="I627" t="str">
        <f>IF(H627=0,"",IF(C627=C626,"",SUM($H$3:H627)))</f>
        <v/>
      </c>
    </row>
    <row r="628" spans="2:9">
      <c r="B628" s="164">
        <v>45834</v>
      </c>
      <c r="C628" t="s">
        <v>139</v>
      </c>
      <c r="D628">
        <v>3</v>
      </c>
      <c r="E628">
        <v>960000</v>
      </c>
      <c r="F628">
        <v>35331688</v>
      </c>
      <c r="G628">
        <v>1000</v>
      </c>
      <c r="H628" t="str">
        <f>IF(C628=C627,"",COUNTIF(G628,1000)+COUNTIF(G628,2000))</f>
        <v/>
      </c>
      <c r="I628" t="str">
        <f>IF(H628=0,"",IF(C628=C627,"",SUM($H$3:H628)))</f>
        <v/>
      </c>
    </row>
    <row r="629" spans="2:9">
      <c r="B629" s="164">
        <v>45834</v>
      </c>
      <c r="C629" t="s">
        <v>139</v>
      </c>
      <c r="D629">
        <v>2</v>
      </c>
      <c r="E629">
        <v>960000</v>
      </c>
      <c r="F629">
        <v>35331688</v>
      </c>
      <c r="G629">
        <v>1000</v>
      </c>
      <c r="H629" t="str">
        <f>IF(C629=C628,"",COUNTIF(G629,1000)+COUNTIF(G629,2000))</f>
        <v/>
      </c>
      <c r="I629" t="str">
        <f>IF(H629=0,"",IF(C629=C628,"",SUM($H$3:H629)))</f>
        <v/>
      </c>
    </row>
    <row r="630" spans="2:9">
      <c r="B630" s="164">
        <v>45834</v>
      </c>
      <c r="C630" t="s">
        <v>139</v>
      </c>
      <c r="D630">
        <v>2</v>
      </c>
      <c r="E630">
        <v>960000</v>
      </c>
      <c r="F630">
        <v>35331688</v>
      </c>
      <c r="G630">
        <v>1000</v>
      </c>
      <c r="H630" t="str">
        <f>IF(C630=C629,"",COUNTIF(G630,1000)+COUNTIF(G630,2000))</f>
        <v/>
      </c>
      <c r="I630" t="str">
        <f>IF(H630=0,"",IF(C630=C629,"",SUM($H$3:H630)))</f>
        <v/>
      </c>
    </row>
    <row r="631" spans="2:9">
      <c r="B631" s="164">
        <v>45834</v>
      </c>
      <c r="C631" t="s">
        <v>139</v>
      </c>
      <c r="D631">
        <v>2</v>
      </c>
      <c r="E631">
        <v>960000</v>
      </c>
      <c r="F631">
        <v>35331688</v>
      </c>
      <c r="G631">
        <v>1000</v>
      </c>
      <c r="H631" t="str">
        <f>IF(C631=C630,"",COUNTIF(G631,1000)+COUNTIF(G631,2000))</f>
        <v/>
      </c>
      <c r="I631" t="str">
        <f>IF(H631=0,"",IF(C631=C630,"",SUM($H$3:H631)))</f>
        <v/>
      </c>
    </row>
    <row r="632" spans="2:9">
      <c r="B632" s="164">
        <v>45834</v>
      </c>
      <c r="C632" t="s">
        <v>139</v>
      </c>
      <c r="D632">
        <v>2</v>
      </c>
      <c r="E632">
        <v>960000</v>
      </c>
      <c r="F632">
        <v>35331688</v>
      </c>
      <c r="G632">
        <v>1000</v>
      </c>
      <c r="H632" t="str">
        <f>IF(C632=C631,"",COUNTIF(G632,1000)+COUNTIF(G632,2000))</f>
        <v/>
      </c>
      <c r="I632" t="str">
        <f>IF(H632=0,"",IF(C632=C631,"",SUM($H$3:H632)))</f>
        <v/>
      </c>
    </row>
    <row r="633" spans="2:9">
      <c r="B633" s="164">
        <v>45834</v>
      </c>
      <c r="C633" t="s">
        <v>139</v>
      </c>
      <c r="D633">
        <v>1</v>
      </c>
      <c r="E633">
        <v>960000</v>
      </c>
      <c r="F633">
        <v>35331688</v>
      </c>
      <c r="G633">
        <v>1000</v>
      </c>
      <c r="H633" t="str">
        <f>IF(C633=C632,"",COUNTIF(G633,1000)+COUNTIF(G633,2000))</f>
        <v/>
      </c>
      <c r="I633" t="str">
        <f>IF(H633=0,"",IF(C633=C632,"",SUM($H$3:H633)))</f>
        <v/>
      </c>
    </row>
    <row r="634" spans="2:9">
      <c r="B634" s="164">
        <v>45834</v>
      </c>
      <c r="C634" t="s">
        <v>139</v>
      </c>
      <c r="D634">
        <v>1</v>
      </c>
      <c r="E634">
        <v>960000</v>
      </c>
      <c r="F634">
        <v>35331688</v>
      </c>
      <c r="G634">
        <v>1000</v>
      </c>
      <c r="H634" t="str">
        <f>IF(C634=C633,"",COUNTIF(G634,1000)+COUNTIF(G634,2000))</f>
        <v/>
      </c>
      <c r="I634" t="str">
        <f>IF(H634=0,"",IF(C634=C633,"",SUM($H$3:H634)))</f>
        <v/>
      </c>
    </row>
    <row r="635" spans="2:9">
      <c r="B635" s="164">
        <v>45834</v>
      </c>
      <c r="C635" t="s">
        <v>139</v>
      </c>
      <c r="D635">
        <v>2</v>
      </c>
      <c r="E635">
        <v>960000</v>
      </c>
      <c r="F635">
        <v>35331688</v>
      </c>
      <c r="G635">
        <v>1000</v>
      </c>
      <c r="H635" t="str">
        <f>IF(C635=C634,"",COUNTIF(G635,1000)+COUNTIF(G635,2000))</f>
        <v/>
      </c>
      <c r="I635" t="str">
        <f>IF(H635=0,"",IF(C635=C634,"",SUM($H$3:H635)))</f>
        <v/>
      </c>
    </row>
    <row r="636" spans="2:9">
      <c r="B636" s="164">
        <v>45834</v>
      </c>
      <c r="C636" t="s">
        <v>139</v>
      </c>
      <c r="D636">
        <v>2</v>
      </c>
      <c r="E636">
        <v>960000</v>
      </c>
      <c r="F636">
        <v>35331688</v>
      </c>
      <c r="G636">
        <v>1000</v>
      </c>
      <c r="H636" t="str">
        <f>IF(C636=C635,"",COUNTIF(G636,1000)+COUNTIF(G636,2000))</f>
        <v/>
      </c>
      <c r="I636" t="str">
        <f>IF(H636=0,"",IF(C636=C635,"",SUM($H$3:H636)))</f>
        <v/>
      </c>
    </row>
    <row r="637" spans="2:9">
      <c r="B637" s="164">
        <v>45834</v>
      </c>
      <c r="C637" t="s">
        <v>139</v>
      </c>
      <c r="D637">
        <v>2</v>
      </c>
      <c r="E637">
        <v>960000</v>
      </c>
      <c r="F637">
        <v>35331688</v>
      </c>
      <c r="G637">
        <v>1000</v>
      </c>
      <c r="H637" t="str">
        <f>IF(C637=C636,"",COUNTIF(G637,1000)+COUNTIF(G637,2000))</f>
        <v/>
      </c>
      <c r="I637" t="str">
        <f>IF(H637=0,"",IF(C637=C636,"",SUM($H$3:H637)))</f>
        <v/>
      </c>
    </row>
    <row r="638" spans="2:9">
      <c r="B638" s="164">
        <v>45834</v>
      </c>
      <c r="C638" t="s">
        <v>139</v>
      </c>
      <c r="D638">
        <v>2</v>
      </c>
      <c r="E638">
        <v>960000</v>
      </c>
      <c r="F638">
        <v>35331688</v>
      </c>
      <c r="G638">
        <v>1000</v>
      </c>
      <c r="H638" t="str">
        <f>IF(C638=C637,"",COUNTIF(G638,1000)+COUNTIF(G638,2000))</f>
        <v/>
      </c>
      <c r="I638" t="str">
        <f>IF(H638=0,"",IF(C638=C637,"",SUM($H$3:H638)))</f>
        <v/>
      </c>
    </row>
    <row r="639" spans="2:9">
      <c r="B639" s="164">
        <v>45834</v>
      </c>
      <c r="C639" t="s">
        <v>139</v>
      </c>
      <c r="D639">
        <v>2</v>
      </c>
      <c r="E639">
        <v>960000</v>
      </c>
      <c r="F639">
        <v>35331688</v>
      </c>
      <c r="G639">
        <v>1000</v>
      </c>
      <c r="H639" t="str">
        <f>IF(C639=C638,"",COUNTIF(G639,1000)+COUNTIF(G639,2000))</f>
        <v/>
      </c>
      <c r="I639" t="str">
        <f>IF(H639=0,"",IF(C639=C638,"",SUM($H$3:H639)))</f>
        <v/>
      </c>
    </row>
    <row r="640" spans="2:9">
      <c r="B640" s="164">
        <v>45834</v>
      </c>
      <c r="C640" t="s">
        <v>139</v>
      </c>
      <c r="D640">
        <v>2</v>
      </c>
      <c r="E640">
        <v>960000</v>
      </c>
      <c r="F640">
        <v>35331688</v>
      </c>
      <c r="G640">
        <v>1000</v>
      </c>
      <c r="H640" t="str">
        <f>IF(C640=C639,"",COUNTIF(G640,1000)+COUNTIF(G640,2000))</f>
        <v/>
      </c>
      <c r="I640" t="str">
        <f>IF(H640=0,"",IF(C640=C639,"",SUM($H$3:H640)))</f>
        <v/>
      </c>
    </row>
    <row r="641" spans="2:9">
      <c r="B641" s="164">
        <v>45834</v>
      </c>
      <c r="C641" t="s">
        <v>139</v>
      </c>
      <c r="D641">
        <v>2</v>
      </c>
      <c r="E641">
        <v>960000</v>
      </c>
      <c r="F641">
        <v>35331688</v>
      </c>
      <c r="G641">
        <v>1000</v>
      </c>
      <c r="H641" t="str">
        <f>IF(C641=C640,"",COUNTIF(G641,1000)+COUNTIF(G641,2000))</f>
        <v/>
      </c>
      <c r="I641" t="str">
        <f>IF(H641=0,"",IF(C641=C640,"",SUM($H$3:H641)))</f>
        <v/>
      </c>
    </row>
    <row r="642" spans="2:9">
      <c r="B642" s="164">
        <v>45834</v>
      </c>
      <c r="C642" t="s">
        <v>139</v>
      </c>
      <c r="D642">
        <v>2</v>
      </c>
      <c r="E642">
        <v>960000</v>
      </c>
      <c r="F642">
        <v>35331688</v>
      </c>
      <c r="G642">
        <v>1000</v>
      </c>
      <c r="H642" t="str">
        <f>IF(C642=C641,"",COUNTIF(G642,1000)+COUNTIF(G642,2000))</f>
        <v/>
      </c>
      <c r="I642" t="str">
        <f>IF(H642=0,"",IF(C642=C641,"",SUM($H$3:H642)))</f>
        <v/>
      </c>
    </row>
    <row r="643" spans="2:9">
      <c r="B643" s="164">
        <v>45834</v>
      </c>
      <c r="C643" t="s">
        <v>139</v>
      </c>
      <c r="D643">
        <v>1</v>
      </c>
      <c r="E643">
        <v>960000</v>
      </c>
      <c r="F643">
        <v>35331688</v>
      </c>
      <c r="G643">
        <v>1000</v>
      </c>
      <c r="H643" t="str">
        <f>IF(C643=C642,"",COUNTIF(G643,1000)+COUNTIF(G643,2000))</f>
        <v/>
      </c>
      <c r="I643" t="str">
        <f>IF(H643=0,"",IF(C643=C642,"",SUM($H$3:H643)))</f>
        <v/>
      </c>
    </row>
    <row r="644" spans="2:9">
      <c r="B644" s="164">
        <v>45834</v>
      </c>
      <c r="C644" t="s">
        <v>139</v>
      </c>
      <c r="D644">
        <v>1</v>
      </c>
      <c r="E644">
        <v>960000</v>
      </c>
      <c r="F644">
        <v>35331688</v>
      </c>
      <c r="G644">
        <v>1000</v>
      </c>
      <c r="H644" t="str">
        <f>IF(C644=C643,"",COUNTIF(G644,1000)+COUNTIF(G644,2000))</f>
        <v/>
      </c>
      <c r="I644" t="str">
        <f>IF(H644=0,"",IF(C644=C643,"",SUM($H$3:H644)))</f>
        <v/>
      </c>
    </row>
    <row r="645" spans="2:9">
      <c r="B645" s="164">
        <v>45834</v>
      </c>
      <c r="C645" t="s">
        <v>139</v>
      </c>
      <c r="D645">
        <v>1</v>
      </c>
      <c r="E645">
        <v>960000</v>
      </c>
      <c r="F645">
        <v>35331688</v>
      </c>
      <c r="G645">
        <v>1000</v>
      </c>
      <c r="H645" t="str">
        <f>IF(C645=C644,"",COUNTIF(G645,1000)+COUNTIF(G645,2000))</f>
        <v/>
      </c>
      <c r="I645" t="str">
        <f>IF(H645=0,"",IF(C645=C644,"",SUM($H$3:H645)))</f>
        <v/>
      </c>
    </row>
    <row r="646" spans="2:9">
      <c r="B646" s="164">
        <v>45834</v>
      </c>
      <c r="C646" t="s">
        <v>139</v>
      </c>
      <c r="D646">
        <v>1</v>
      </c>
      <c r="E646">
        <v>960000</v>
      </c>
      <c r="F646">
        <v>35331688</v>
      </c>
      <c r="G646">
        <v>1000</v>
      </c>
      <c r="H646" t="str">
        <f>IF(C646=C645,"",COUNTIF(G646,1000)+COUNTIF(G646,2000))</f>
        <v/>
      </c>
      <c r="I646" t="str">
        <f>IF(H646=0,"",IF(C646=C645,"",SUM($H$3:H646)))</f>
        <v/>
      </c>
    </row>
    <row r="647" spans="2:9">
      <c r="B647" s="164">
        <v>45834</v>
      </c>
      <c r="C647" t="s">
        <v>139</v>
      </c>
      <c r="D647">
        <v>1</v>
      </c>
      <c r="E647">
        <v>960000</v>
      </c>
      <c r="F647">
        <v>35331688</v>
      </c>
      <c r="G647">
        <v>1000</v>
      </c>
      <c r="H647" t="str">
        <f>IF(C647=C646,"",COUNTIF(G647,1000)+COUNTIF(G647,2000))</f>
        <v/>
      </c>
      <c r="I647" t="str">
        <f>IF(H647=0,"",IF(C647=C646,"",SUM($H$3:H647)))</f>
        <v/>
      </c>
    </row>
    <row r="648" spans="2:9">
      <c r="B648" s="164">
        <v>45834</v>
      </c>
      <c r="C648" t="s">
        <v>139</v>
      </c>
      <c r="D648">
        <v>1</v>
      </c>
      <c r="E648">
        <v>960000</v>
      </c>
      <c r="F648">
        <v>35331688</v>
      </c>
      <c r="G648">
        <v>1000</v>
      </c>
      <c r="H648" t="str">
        <f>IF(C648=C647,"",COUNTIF(G648,1000)+COUNTIF(G648,2000))</f>
        <v/>
      </c>
      <c r="I648" t="str">
        <f>IF(H648=0,"",IF(C648=C647,"",SUM($H$3:H648)))</f>
        <v/>
      </c>
    </row>
    <row r="649" spans="2:9">
      <c r="B649" s="164">
        <v>45834</v>
      </c>
      <c r="C649" t="s">
        <v>139</v>
      </c>
      <c r="D649">
        <v>1</v>
      </c>
      <c r="E649">
        <v>960000</v>
      </c>
      <c r="F649">
        <v>35331688</v>
      </c>
      <c r="G649">
        <v>1000</v>
      </c>
      <c r="H649" t="str">
        <f>IF(C649=C648,"",COUNTIF(G649,1000)+COUNTIF(G649,2000))</f>
        <v/>
      </c>
      <c r="I649" t="str">
        <f>IF(H649=0,"",IF(C649=C648,"",SUM($H$3:H649)))</f>
        <v/>
      </c>
    </row>
    <row r="650" spans="2:9">
      <c r="B650" s="164">
        <v>45834</v>
      </c>
      <c r="C650" t="s">
        <v>139</v>
      </c>
      <c r="D650">
        <v>1</v>
      </c>
      <c r="E650">
        <v>960000</v>
      </c>
      <c r="F650">
        <v>35331688</v>
      </c>
      <c r="G650">
        <v>1000</v>
      </c>
      <c r="H650" t="str">
        <f>IF(C650=C649,"",COUNTIF(G650,1000)+COUNTIF(G650,2000))</f>
        <v/>
      </c>
      <c r="I650" t="str">
        <f>IF(H650=0,"",IF(C650=C649,"",SUM($H$3:H650)))</f>
        <v/>
      </c>
    </row>
    <row r="651" spans="2:9">
      <c r="B651" s="164">
        <v>45834</v>
      </c>
      <c r="C651" t="s">
        <v>139</v>
      </c>
      <c r="D651">
        <v>1</v>
      </c>
      <c r="E651">
        <v>960000</v>
      </c>
      <c r="F651">
        <v>35331688</v>
      </c>
      <c r="G651">
        <v>1000</v>
      </c>
      <c r="H651" t="str">
        <f>IF(C651=C650,"",COUNTIF(G651,1000)+COUNTIF(G651,2000))</f>
        <v/>
      </c>
      <c r="I651" t="str">
        <f>IF(H651=0,"",IF(C651=C650,"",SUM($H$3:H651)))</f>
        <v/>
      </c>
    </row>
    <row r="652" spans="2:9">
      <c r="B652" s="164">
        <v>45834</v>
      </c>
      <c r="C652" t="s">
        <v>139</v>
      </c>
      <c r="D652">
        <v>1</v>
      </c>
      <c r="E652">
        <v>960000</v>
      </c>
      <c r="F652">
        <v>35331688</v>
      </c>
      <c r="G652">
        <v>1000</v>
      </c>
      <c r="H652" t="str">
        <f>IF(C652=C651,"",COUNTIF(G652,1000)+COUNTIF(G652,2000))</f>
        <v/>
      </c>
      <c r="I652" t="str">
        <f>IF(H652=0,"",IF(C652=C651,"",SUM($H$3:H652)))</f>
        <v/>
      </c>
    </row>
    <row r="653" spans="2:9">
      <c r="B653" s="164">
        <v>45834</v>
      </c>
      <c r="C653" t="s">
        <v>139</v>
      </c>
      <c r="D653">
        <v>1</v>
      </c>
      <c r="E653">
        <v>960000</v>
      </c>
      <c r="F653">
        <v>35331688</v>
      </c>
      <c r="G653">
        <v>1000</v>
      </c>
      <c r="H653" t="str">
        <f>IF(C653=C652,"",COUNTIF(G653,1000)+COUNTIF(G653,2000))</f>
        <v/>
      </c>
      <c r="I653" t="str">
        <f>IF(H653=0,"",IF(C653=C652,"",SUM($H$3:H653)))</f>
        <v/>
      </c>
    </row>
    <row r="654" spans="2:9">
      <c r="B654" s="164">
        <v>45834</v>
      </c>
      <c r="C654" t="s">
        <v>139</v>
      </c>
      <c r="D654">
        <v>1</v>
      </c>
      <c r="E654">
        <v>960000</v>
      </c>
      <c r="F654">
        <v>35331688</v>
      </c>
      <c r="G654">
        <v>1000</v>
      </c>
      <c r="H654" t="str">
        <f>IF(C654=C653,"",COUNTIF(G654,1000)+COUNTIF(G654,2000))</f>
        <v/>
      </c>
      <c r="I654" t="str">
        <f>IF(H654=0,"",IF(C654=C653,"",SUM($H$3:H654)))</f>
        <v/>
      </c>
    </row>
    <row r="655" spans="2:9">
      <c r="B655" s="164">
        <v>45834</v>
      </c>
      <c r="C655" t="s">
        <v>139</v>
      </c>
      <c r="D655">
        <v>1</v>
      </c>
      <c r="E655">
        <v>960000</v>
      </c>
      <c r="F655">
        <v>35331688</v>
      </c>
      <c r="G655">
        <v>1000</v>
      </c>
      <c r="H655" t="str">
        <f>IF(C655=C654,"",COUNTIF(G655,1000)+COUNTIF(G655,2000))</f>
        <v/>
      </c>
      <c r="I655" t="str">
        <f>IF(H655=0,"",IF(C655=C654,"",SUM($H$3:H655)))</f>
        <v/>
      </c>
    </row>
    <row r="656" spans="2:9">
      <c r="B656" s="164">
        <v>45856</v>
      </c>
      <c r="C656" t="s">
        <v>140</v>
      </c>
      <c r="D656">
        <v>2</v>
      </c>
      <c r="E656">
        <v>1690000</v>
      </c>
      <c r="F656">
        <v>61862062</v>
      </c>
      <c r="G656">
        <v>1000</v>
      </c>
      <c r="H656">
        <f>IF(C656=C655,"",COUNTIF(G656,1000)+COUNTIF(G656,2000))</f>
        <v>1</v>
      </c>
      <c r="I656">
        <f>IF(H656=0,"",IF(C656=C655,"",SUM($H$3:H656)))</f>
        <v>14</v>
      </c>
    </row>
    <row r="657" spans="2:9">
      <c r="B657" s="164">
        <v>45856</v>
      </c>
      <c r="C657" t="s">
        <v>140</v>
      </c>
      <c r="D657">
        <v>2</v>
      </c>
      <c r="E657">
        <v>1690000</v>
      </c>
      <c r="F657">
        <v>61862062</v>
      </c>
      <c r="G657">
        <v>1000</v>
      </c>
      <c r="H657" t="str">
        <f>IF(C657=C656,"",COUNTIF(G657,1000)+COUNTIF(G657,2000))</f>
        <v/>
      </c>
      <c r="I657" t="str">
        <f>IF(H657=0,"",IF(C657=C656,"",SUM($H$3:H657)))</f>
        <v/>
      </c>
    </row>
    <row r="658" spans="2:9">
      <c r="B658" s="164">
        <v>45856</v>
      </c>
      <c r="C658" t="s">
        <v>140</v>
      </c>
      <c r="D658">
        <v>2</v>
      </c>
      <c r="E658">
        <v>1690000</v>
      </c>
      <c r="F658">
        <v>61862062</v>
      </c>
      <c r="G658">
        <v>1000</v>
      </c>
      <c r="H658" t="str">
        <f>IF(C658=C657,"",COUNTIF(G658,1000)+COUNTIF(G658,2000))</f>
        <v/>
      </c>
      <c r="I658" t="str">
        <f>IF(H658=0,"",IF(C658=C657,"",SUM($H$3:H658)))</f>
        <v/>
      </c>
    </row>
    <row r="659" spans="2:9">
      <c r="B659" s="164">
        <v>45856</v>
      </c>
      <c r="C659" t="s">
        <v>140</v>
      </c>
      <c r="D659">
        <v>2</v>
      </c>
      <c r="E659">
        <v>1690000</v>
      </c>
      <c r="F659">
        <v>61862062</v>
      </c>
      <c r="G659">
        <v>1000</v>
      </c>
      <c r="H659" t="str">
        <f>IF(C659=C658,"",COUNTIF(G659,1000)+COUNTIF(G659,2000))</f>
        <v/>
      </c>
      <c r="I659" t="str">
        <f>IF(H659=0,"",IF(C659=C658,"",SUM($H$3:H659)))</f>
        <v/>
      </c>
    </row>
    <row r="660" spans="2:9">
      <c r="B660" s="164">
        <v>45856</v>
      </c>
      <c r="C660" t="s">
        <v>140</v>
      </c>
      <c r="D660">
        <v>2</v>
      </c>
      <c r="E660">
        <v>1690000</v>
      </c>
      <c r="F660">
        <v>61862062</v>
      </c>
      <c r="G660">
        <v>1000</v>
      </c>
      <c r="H660" t="str">
        <f>IF(C660=C659,"",COUNTIF(G660,1000)+COUNTIF(G660,2000))</f>
        <v/>
      </c>
      <c r="I660" t="str">
        <f>IF(H660=0,"",IF(C660=C659,"",SUM($H$3:H660)))</f>
        <v/>
      </c>
    </row>
    <row r="661" spans="2:9">
      <c r="B661" s="164">
        <v>45856</v>
      </c>
      <c r="C661" t="s">
        <v>140</v>
      </c>
      <c r="D661">
        <v>2</v>
      </c>
      <c r="E661">
        <v>1690000</v>
      </c>
      <c r="F661">
        <v>61862062</v>
      </c>
      <c r="G661">
        <v>1000</v>
      </c>
      <c r="H661" t="str">
        <f>IF(C661=C660,"",COUNTIF(G661,1000)+COUNTIF(G661,2000))</f>
        <v/>
      </c>
      <c r="I661" t="str">
        <f>IF(H661=0,"",IF(C661=C660,"",SUM($H$3:H661)))</f>
        <v/>
      </c>
    </row>
    <row r="662" spans="2:9">
      <c r="B662" s="164">
        <v>45856</v>
      </c>
      <c r="C662" t="s">
        <v>140</v>
      </c>
      <c r="D662">
        <v>1</v>
      </c>
      <c r="E662">
        <v>1690000</v>
      </c>
      <c r="F662">
        <v>61862062</v>
      </c>
      <c r="G662">
        <v>1000</v>
      </c>
      <c r="H662" t="str">
        <f>IF(C662=C661,"",COUNTIF(G662,1000)+COUNTIF(G662,2000))</f>
        <v/>
      </c>
      <c r="I662" t="str">
        <f>IF(H662=0,"",IF(C662=C661,"",SUM($H$3:H662)))</f>
        <v/>
      </c>
    </row>
    <row r="663" spans="2:9">
      <c r="B663" s="164">
        <v>45856</v>
      </c>
      <c r="C663" t="s">
        <v>140</v>
      </c>
      <c r="D663">
        <v>3</v>
      </c>
      <c r="E663">
        <v>1690000</v>
      </c>
      <c r="F663">
        <v>61862062</v>
      </c>
      <c r="G663">
        <v>1000</v>
      </c>
      <c r="H663" t="str">
        <f>IF(C663=C662,"",COUNTIF(G663,1000)+COUNTIF(G663,2000))</f>
        <v/>
      </c>
      <c r="I663" t="str">
        <f>IF(H663=0,"",IF(C663=C662,"",SUM($H$3:H663)))</f>
        <v/>
      </c>
    </row>
    <row r="664" spans="2:9">
      <c r="B664" s="164">
        <v>45856</v>
      </c>
      <c r="C664" t="s">
        <v>140</v>
      </c>
      <c r="D664">
        <v>3</v>
      </c>
      <c r="E664">
        <v>1690000</v>
      </c>
      <c r="F664">
        <v>61862062</v>
      </c>
      <c r="G664">
        <v>1000</v>
      </c>
      <c r="H664" t="str">
        <f>IF(C664=C663,"",COUNTIF(G664,1000)+COUNTIF(G664,2000))</f>
        <v/>
      </c>
      <c r="I664" t="str">
        <f>IF(H664=0,"",IF(C664=C663,"",SUM($H$3:H664)))</f>
        <v/>
      </c>
    </row>
    <row r="665" spans="2:9">
      <c r="B665" s="164">
        <v>45856</v>
      </c>
      <c r="C665" t="s">
        <v>140</v>
      </c>
      <c r="D665">
        <v>3</v>
      </c>
      <c r="E665">
        <v>1690000</v>
      </c>
      <c r="F665">
        <v>61862062</v>
      </c>
      <c r="G665">
        <v>1000</v>
      </c>
      <c r="H665" t="str">
        <f>IF(C665=C664,"",COUNTIF(G665,1000)+COUNTIF(G665,2000))</f>
        <v/>
      </c>
      <c r="I665" t="str">
        <f>IF(H665=0,"",IF(C665=C664,"",SUM($H$3:H665)))</f>
        <v/>
      </c>
    </row>
    <row r="666" spans="2:9">
      <c r="B666" s="164">
        <v>45856</v>
      </c>
      <c r="C666" t="s">
        <v>140</v>
      </c>
      <c r="D666">
        <v>3</v>
      </c>
      <c r="E666">
        <v>1690000</v>
      </c>
      <c r="F666">
        <v>61862062</v>
      </c>
      <c r="G666">
        <v>1000</v>
      </c>
      <c r="H666" t="str">
        <f>IF(C666=C665,"",COUNTIF(G666,1000)+COUNTIF(G666,2000))</f>
        <v/>
      </c>
      <c r="I666" t="str">
        <f>IF(H666=0,"",IF(C666=C665,"",SUM($H$3:H666)))</f>
        <v/>
      </c>
    </row>
    <row r="667" spans="2:9">
      <c r="B667" s="164">
        <v>45856</v>
      </c>
      <c r="C667" t="s">
        <v>140</v>
      </c>
      <c r="D667">
        <v>3</v>
      </c>
      <c r="E667">
        <v>1690000</v>
      </c>
      <c r="F667">
        <v>61862062</v>
      </c>
      <c r="G667">
        <v>1000</v>
      </c>
      <c r="H667" t="str">
        <f>IF(C667=C666,"",COUNTIF(G667,1000)+COUNTIF(G667,2000))</f>
        <v/>
      </c>
      <c r="I667" t="str">
        <f>IF(H667=0,"",IF(C667=C666,"",SUM($H$3:H667)))</f>
        <v/>
      </c>
    </row>
    <row r="668" spans="2:9">
      <c r="B668" s="164">
        <v>45856</v>
      </c>
      <c r="C668" t="s">
        <v>140</v>
      </c>
      <c r="D668">
        <v>2</v>
      </c>
      <c r="E668">
        <v>1690000</v>
      </c>
      <c r="F668">
        <v>61862062</v>
      </c>
      <c r="G668">
        <v>1000</v>
      </c>
      <c r="H668" t="str">
        <f>IF(C668=C667,"",COUNTIF(G668,1000)+COUNTIF(G668,2000))</f>
        <v/>
      </c>
      <c r="I668" t="str">
        <f>IF(H668=0,"",IF(C668=C667,"",SUM($H$3:H668)))</f>
        <v/>
      </c>
    </row>
    <row r="669" spans="2:9">
      <c r="B669" s="164">
        <v>45856</v>
      </c>
      <c r="C669" t="s">
        <v>140</v>
      </c>
      <c r="D669">
        <v>2</v>
      </c>
      <c r="E669">
        <v>1690000</v>
      </c>
      <c r="F669">
        <v>61862062</v>
      </c>
      <c r="G669">
        <v>1000</v>
      </c>
      <c r="H669" t="str">
        <f>IF(C669=C668,"",COUNTIF(G669,1000)+COUNTIF(G669,2000))</f>
        <v/>
      </c>
      <c r="I669" t="str">
        <f>IF(H669=0,"",IF(C669=C668,"",SUM($H$3:H669)))</f>
        <v/>
      </c>
    </row>
    <row r="670" spans="2:9">
      <c r="B670" s="164">
        <v>45856</v>
      </c>
      <c r="C670" t="s">
        <v>140</v>
      </c>
      <c r="D670">
        <v>2</v>
      </c>
      <c r="E670">
        <v>1690000</v>
      </c>
      <c r="F670">
        <v>61862062</v>
      </c>
      <c r="G670">
        <v>1000</v>
      </c>
      <c r="H670" t="str">
        <f>IF(C670=C669,"",COUNTIF(G670,1000)+COUNTIF(G670,2000))</f>
        <v/>
      </c>
      <c r="I670" t="str">
        <f>IF(H670=0,"",IF(C670=C669,"",SUM($H$3:H670)))</f>
        <v/>
      </c>
    </row>
    <row r="671" spans="2:9">
      <c r="B671" s="164">
        <v>45856</v>
      </c>
      <c r="C671" t="s">
        <v>140</v>
      </c>
      <c r="D671">
        <v>2</v>
      </c>
      <c r="E671">
        <v>1690000</v>
      </c>
      <c r="F671">
        <v>61862062</v>
      </c>
      <c r="G671">
        <v>1000</v>
      </c>
      <c r="H671" t="str">
        <f>IF(C671=C670,"",COUNTIF(G671,1000)+COUNTIF(G671,2000))</f>
        <v/>
      </c>
      <c r="I671" t="str">
        <f>IF(H671=0,"",IF(C671=C670,"",SUM($H$3:H671)))</f>
        <v/>
      </c>
    </row>
    <row r="672" spans="2:9">
      <c r="B672" s="164">
        <v>45856</v>
      </c>
      <c r="C672" t="s">
        <v>140</v>
      </c>
      <c r="D672">
        <v>2</v>
      </c>
      <c r="E672">
        <v>1690000</v>
      </c>
      <c r="F672">
        <v>61862062</v>
      </c>
      <c r="G672">
        <v>1000</v>
      </c>
      <c r="H672" t="str">
        <f>IF(C672=C671,"",COUNTIF(G672,1000)+COUNTIF(G672,2000))</f>
        <v/>
      </c>
      <c r="I672" t="str">
        <f>IF(H672=0,"",IF(C672=C671,"",SUM($H$3:H672)))</f>
        <v/>
      </c>
    </row>
    <row r="673" spans="2:9">
      <c r="B673" s="164">
        <v>45856</v>
      </c>
      <c r="C673" t="s">
        <v>140</v>
      </c>
      <c r="D673">
        <v>2</v>
      </c>
      <c r="E673">
        <v>1690000</v>
      </c>
      <c r="F673">
        <v>61862062</v>
      </c>
      <c r="G673">
        <v>1000</v>
      </c>
      <c r="H673" t="str">
        <f>IF(C673=C672,"",COUNTIF(G673,1000)+COUNTIF(G673,2000))</f>
        <v/>
      </c>
      <c r="I673" t="str">
        <f>IF(H673=0,"",IF(C673=C672,"",SUM($H$3:H673)))</f>
        <v/>
      </c>
    </row>
    <row r="674" spans="2:9">
      <c r="B674" s="164">
        <v>45856</v>
      </c>
      <c r="C674" t="s">
        <v>140</v>
      </c>
      <c r="D674">
        <v>2</v>
      </c>
      <c r="E674">
        <v>1690000</v>
      </c>
      <c r="F674">
        <v>61862062</v>
      </c>
      <c r="G674">
        <v>1000</v>
      </c>
      <c r="H674" t="str">
        <f>IF(C674=C673,"",COUNTIF(G674,1000)+COUNTIF(G674,2000))</f>
        <v/>
      </c>
      <c r="I674" t="str">
        <f>IF(H674=0,"",IF(C674=C673,"",SUM($H$3:H674)))</f>
        <v/>
      </c>
    </row>
    <row r="675" spans="2:9">
      <c r="B675" s="164">
        <v>45856</v>
      </c>
      <c r="C675" t="s">
        <v>140</v>
      </c>
      <c r="D675">
        <v>2</v>
      </c>
      <c r="E675">
        <v>1690000</v>
      </c>
      <c r="F675">
        <v>61862062</v>
      </c>
      <c r="G675">
        <v>1000</v>
      </c>
      <c r="H675" t="str">
        <f>IF(C675=C674,"",COUNTIF(G675,1000)+COUNTIF(G675,2000))</f>
        <v/>
      </c>
      <c r="I675" t="str">
        <f>IF(H675=0,"",IF(C675=C674,"",SUM($H$3:H675)))</f>
        <v/>
      </c>
    </row>
    <row r="676" spans="2:9">
      <c r="B676" s="164">
        <v>45856</v>
      </c>
      <c r="C676" t="s">
        <v>140</v>
      </c>
      <c r="D676">
        <v>2</v>
      </c>
      <c r="E676">
        <v>1690000</v>
      </c>
      <c r="F676">
        <v>61862062</v>
      </c>
      <c r="G676">
        <v>1000</v>
      </c>
      <c r="H676" t="str">
        <f>IF(C676=C675,"",COUNTIF(G676,1000)+COUNTIF(G676,2000))</f>
        <v/>
      </c>
      <c r="I676" t="str">
        <f>IF(H676=0,"",IF(C676=C675,"",SUM($H$3:H676)))</f>
        <v/>
      </c>
    </row>
    <row r="677" spans="2:9">
      <c r="B677" s="164">
        <v>45856</v>
      </c>
      <c r="C677" t="s">
        <v>140</v>
      </c>
      <c r="D677">
        <v>2</v>
      </c>
      <c r="E677">
        <v>1690000</v>
      </c>
      <c r="F677">
        <v>61862062</v>
      </c>
      <c r="G677">
        <v>1000</v>
      </c>
      <c r="H677" t="str">
        <f>IF(C677=C676,"",COUNTIF(G677,1000)+COUNTIF(G677,2000))</f>
        <v/>
      </c>
      <c r="I677" t="str">
        <f>IF(H677=0,"",IF(C677=C676,"",SUM($H$3:H677)))</f>
        <v/>
      </c>
    </row>
    <row r="678" spans="2:9">
      <c r="B678" s="164">
        <v>45856</v>
      </c>
      <c r="C678" t="s">
        <v>140</v>
      </c>
      <c r="D678">
        <v>1</v>
      </c>
      <c r="E678">
        <v>1690000</v>
      </c>
      <c r="F678">
        <v>61862062</v>
      </c>
      <c r="G678">
        <v>1000</v>
      </c>
      <c r="H678" t="str">
        <f>IF(C678=C677,"",COUNTIF(G678,1000)+COUNTIF(G678,2000))</f>
        <v/>
      </c>
      <c r="I678" t="str">
        <f>IF(H678=0,"",IF(C678=C677,"",SUM($H$3:H678)))</f>
        <v/>
      </c>
    </row>
    <row r="679" spans="2:9">
      <c r="B679" s="164">
        <v>45856</v>
      </c>
      <c r="C679" t="s">
        <v>140</v>
      </c>
      <c r="D679">
        <v>1</v>
      </c>
      <c r="E679">
        <v>1690000</v>
      </c>
      <c r="F679">
        <v>61862062</v>
      </c>
      <c r="G679">
        <v>1000</v>
      </c>
      <c r="H679" t="str">
        <f>IF(C679=C678,"",COUNTIF(G679,1000)+COUNTIF(G679,2000))</f>
        <v/>
      </c>
      <c r="I679" t="str">
        <f>IF(H679=0,"",IF(C679=C678,"",SUM($H$3:H679)))</f>
        <v/>
      </c>
    </row>
    <row r="680" spans="2:9">
      <c r="B680" s="164">
        <v>45856</v>
      </c>
      <c r="C680" t="s">
        <v>140</v>
      </c>
      <c r="D680">
        <v>1</v>
      </c>
      <c r="E680">
        <v>1690000</v>
      </c>
      <c r="F680">
        <v>61862062</v>
      </c>
      <c r="G680">
        <v>1000</v>
      </c>
      <c r="H680" t="str">
        <f>IF(C680=C679,"",COUNTIF(G680,1000)+COUNTIF(G680,2000))</f>
        <v/>
      </c>
      <c r="I680" t="str">
        <f>IF(H680=0,"",IF(C680=C679,"",SUM($H$3:H680)))</f>
        <v/>
      </c>
    </row>
    <row r="681" spans="2:9">
      <c r="B681" s="164">
        <v>45856</v>
      </c>
      <c r="C681" t="s">
        <v>140</v>
      </c>
      <c r="D681">
        <v>1</v>
      </c>
      <c r="E681">
        <v>1690000</v>
      </c>
      <c r="F681">
        <v>61862062</v>
      </c>
      <c r="G681">
        <v>1000</v>
      </c>
      <c r="H681" t="str">
        <f>IF(C681=C680,"",COUNTIF(G681,1000)+COUNTIF(G681,2000))</f>
        <v/>
      </c>
      <c r="I681" t="str">
        <f>IF(H681=0,"",IF(C681=C680,"",SUM($H$3:H681)))</f>
        <v/>
      </c>
    </row>
    <row r="682" spans="2:9">
      <c r="B682" s="164">
        <v>45856</v>
      </c>
      <c r="C682" t="s">
        <v>140</v>
      </c>
      <c r="D682">
        <v>1</v>
      </c>
      <c r="E682">
        <v>1690000</v>
      </c>
      <c r="F682">
        <v>61862062</v>
      </c>
      <c r="G682">
        <v>1000</v>
      </c>
      <c r="H682" t="str">
        <f>IF(C682=C681,"",COUNTIF(G682,1000)+COUNTIF(G682,2000))</f>
        <v/>
      </c>
      <c r="I682" t="str">
        <f>IF(H682=0,"",IF(C682=C681,"",SUM($H$3:H682)))</f>
        <v/>
      </c>
    </row>
    <row r="683" spans="2:9">
      <c r="B683" s="164">
        <v>45856</v>
      </c>
      <c r="C683" t="s">
        <v>140</v>
      </c>
      <c r="D683">
        <v>1</v>
      </c>
      <c r="E683">
        <v>1690000</v>
      </c>
      <c r="F683">
        <v>61862062</v>
      </c>
      <c r="G683">
        <v>1000</v>
      </c>
      <c r="H683" t="str">
        <f>IF(C683=C682,"",COUNTIF(G683,1000)+COUNTIF(G683,2000))</f>
        <v/>
      </c>
      <c r="I683" t="str">
        <f>IF(H683=0,"",IF(C683=C682,"",SUM($H$3:H683)))</f>
        <v/>
      </c>
    </row>
    <row r="684" spans="2:9">
      <c r="B684" s="164">
        <v>45856</v>
      </c>
      <c r="C684" t="s">
        <v>140</v>
      </c>
      <c r="D684">
        <v>3</v>
      </c>
      <c r="E684">
        <v>1690000</v>
      </c>
      <c r="F684">
        <v>61862062</v>
      </c>
      <c r="G684">
        <v>1000</v>
      </c>
      <c r="H684" t="str">
        <f>IF(C684=C683,"",COUNTIF(G684,1000)+COUNTIF(G684,2000))</f>
        <v/>
      </c>
      <c r="I684" t="str">
        <f>IF(H684=0,"",IF(C684=C683,"",SUM($H$3:H684)))</f>
        <v/>
      </c>
    </row>
    <row r="685" spans="2:9">
      <c r="B685" s="164">
        <v>45856</v>
      </c>
      <c r="C685" t="s">
        <v>140</v>
      </c>
      <c r="D685">
        <v>3</v>
      </c>
      <c r="E685">
        <v>1690000</v>
      </c>
      <c r="F685">
        <v>61862062</v>
      </c>
      <c r="G685">
        <v>1000</v>
      </c>
      <c r="H685" t="str">
        <f>IF(C685=C684,"",COUNTIF(G685,1000)+COUNTIF(G685,2000))</f>
        <v/>
      </c>
      <c r="I685" t="str">
        <f>IF(H685=0,"",IF(C685=C684,"",SUM($H$3:H685)))</f>
        <v/>
      </c>
    </row>
    <row r="686" spans="2:9">
      <c r="B686" s="164">
        <v>45856</v>
      </c>
      <c r="C686" t="s">
        <v>140</v>
      </c>
      <c r="D686">
        <v>3</v>
      </c>
      <c r="E686">
        <v>1690000</v>
      </c>
      <c r="F686">
        <v>61862062</v>
      </c>
      <c r="G686">
        <v>1000</v>
      </c>
      <c r="H686" t="str">
        <f>IF(C686=C685,"",COUNTIF(G686,1000)+COUNTIF(G686,2000))</f>
        <v/>
      </c>
      <c r="I686" t="str">
        <f>IF(H686=0,"",IF(C686=C685,"",SUM($H$3:H686)))</f>
        <v/>
      </c>
    </row>
    <row r="687" spans="2:9">
      <c r="B687" s="164">
        <v>45856</v>
      </c>
      <c r="C687" t="s">
        <v>140</v>
      </c>
      <c r="D687">
        <v>3</v>
      </c>
      <c r="E687">
        <v>1690000</v>
      </c>
      <c r="F687">
        <v>61862062</v>
      </c>
      <c r="G687">
        <v>1000</v>
      </c>
      <c r="H687" t="str">
        <f>IF(C687=C686,"",COUNTIF(G687,1000)+COUNTIF(G687,2000))</f>
        <v/>
      </c>
      <c r="I687" t="str">
        <f>IF(H687=0,"",IF(C687=C686,"",SUM($H$3:H687)))</f>
        <v/>
      </c>
    </row>
    <row r="688" spans="2:9">
      <c r="B688" s="164">
        <v>45856</v>
      </c>
      <c r="C688" t="s">
        <v>140</v>
      </c>
      <c r="D688">
        <v>3</v>
      </c>
      <c r="E688">
        <v>1690000</v>
      </c>
      <c r="F688">
        <v>61862062</v>
      </c>
      <c r="G688">
        <v>1000</v>
      </c>
      <c r="H688" t="str">
        <f>IF(C688=C687,"",COUNTIF(G688,1000)+COUNTIF(G688,2000))</f>
        <v/>
      </c>
      <c r="I688" t="str">
        <f>IF(H688=0,"",IF(C688=C687,"",SUM($H$3:H688)))</f>
        <v/>
      </c>
    </row>
    <row r="689" spans="2:9">
      <c r="B689" s="164">
        <v>45856</v>
      </c>
      <c r="C689" t="s">
        <v>140</v>
      </c>
      <c r="D689">
        <v>1</v>
      </c>
      <c r="E689">
        <v>1690000</v>
      </c>
      <c r="F689">
        <v>61862062</v>
      </c>
      <c r="G689">
        <v>1000</v>
      </c>
      <c r="H689" t="str">
        <f>IF(C689=C688,"",COUNTIF(G689,1000)+COUNTIF(G689,2000))</f>
        <v/>
      </c>
      <c r="I689" t="str">
        <f>IF(H689=0,"",IF(C689=C688,"",SUM($H$3:H689)))</f>
        <v/>
      </c>
    </row>
    <row r="690" spans="2:9">
      <c r="B690" s="164">
        <v>45856</v>
      </c>
      <c r="C690" t="s">
        <v>140</v>
      </c>
      <c r="D690">
        <v>1</v>
      </c>
      <c r="E690">
        <v>1690000</v>
      </c>
      <c r="F690">
        <v>61862062</v>
      </c>
      <c r="G690">
        <v>1000</v>
      </c>
      <c r="H690" t="str">
        <f>IF(C690=C689,"",COUNTIF(G690,1000)+COUNTIF(G690,2000))</f>
        <v/>
      </c>
      <c r="I690" t="str">
        <f>IF(H690=0,"",IF(C690=C689,"",SUM($H$3:H690)))</f>
        <v/>
      </c>
    </row>
    <row r="691" spans="2:9">
      <c r="B691" s="164">
        <v>45856</v>
      </c>
      <c r="C691" t="s">
        <v>140</v>
      </c>
      <c r="D691">
        <v>1</v>
      </c>
      <c r="E691">
        <v>1690000</v>
      </c>
      <c r="F691">
        <v>61862062</v>
      </c>
      <c r="G691">
        <v>1000</v>
      </c>
      <c r="H691" t="str">
        <f>IF(C691=C690,"",COUNTIF(G691,1000)+COUNTIF(G691,2000))</f>
        <v/>
      </c>
      <c r="I691" t="str">
        <f>IF(H691=0,"",IF(C691=C690,"",SUM($H$3:H691)))</f>
        <v/>
      </c>
    </row>
    <row r="692" spans="2:9">
      <c r="B692" s="164">
        <v>45856</v>
      </c>
      <c r="C692" t="s">
        <v>140</v>
      </c>
      <c r="D692">
        <v>1</v>
      </c>
      <c r="E692">
        <v>1690000</v>
      </c>
      <c r="F692">
        <v>61862062</v>
      </c>
      <c r="G692">
        <v>1000</v>
      </c>
      <c r="H692" t="str">
        <f>IF(C692=C691,"",COUNTIF(G692,1000)+COUNTIF(G692,2000))</f>
        <v/>
      </c>
      <c r="I692" t="str">
        <f>IF(H692=0,"",IF(C692=C691,"",SUM($H$3:H692)))</f>
        <v/>
      </c>
    </row>
    <row r="693" spans="2:9">
      <c r="B693" s="164">
        <v>45856</v>
      </c>
      <c r="C693" t="s">
        <v>140</v>
      </c>
      <c r="D693">
        <v>1</v>
      </c>
      <c r="E693">
        <v>1690000</v>
      </c>
      <c r="F693">
        <v>61862062</v>
      </c>
      <c r="G693">
        <v>1000</v>
      </c>
      <c r="H693" t="str">
        <f>IF(C693=C692,"",COUNTIF(G693,1000)+COUNTIF(G693,2000))</f>
        <v/>
      </c>
      <c r="I693" t="str">
        <f>IF(H693=0,"",IF(C693=C692,"",SUM($H$3:H693)))</f>
        <v/>
      </c>
    </row>
    <row r="694" spans="2:9">
      <c r="B694" s="164">
        <v>45856</v>
      </c>
      <c r="C694" t="s">
        <v>140</v>
      </c>
      <c r="D694">
        <v>2</v>
      </c>
      <c r="E694">
        <v>1690000</v>
      </c>
      <c r="F694">
        <v>61862062</v>
      </c>
      <c r="G694">
        <v>1000</v>
      </c>
      <c r="H694" t="str">
        <f>IF(C694=C693,"",COUNTIF(G694,1000)+COUNTIF(G694,2000))</f>
        <v/>
      </c>
      <c r="I694" t="str">
        <f>IF(H694=0,"",IF(C694=C693,"",SUM($H$3:H694)))</f>
        <v/>
      </c>
    </row>
    <row r="695" spans="2:9">
      <c r="B695" s="164">
        <v>45856</v>
      </c>
      <c r="C695" t="s">
        <v>140</v>
      </c>
      <c r="D695">
        <v>2</v>
      </c>
      <c r="E695">
        <v>1690000</v>
      </c>
      <c r="F695">
        <v>61862062</v>
      </c>
      <c r="G695">
        <v>1000</v>
      </c>
      <c r="H695" t="str">
        <f>IF(C695=C694,"",COUNTIF(G695,1000)+COUNTIF(G695,2000))</f>
        <v/>
      </c>
      <c r="I695" t="str">
        <f>IF(H695=0,"",IF(C695=C694,"",SUM($H$3:H695)))</f>
        <v/>
      </c>
    </row>
    <row r="696" spans="2:9">
      <c r="B696" s="164">
        <v>45856</v>
      </c>
      <c r="C696" t="s">
        <v>140</v>
      </c>
      <c r="D696">
        <v>2</v>
      </c>
      <c r="E696">
        <v>1690000</v>
      </c>
      <c r="F696">
        <v>61862062</v>
      </c>
      <c r="G696">
        <v>1000</v>
      </c>
      <c r="H696" t="str">
        <f>IF(C696=C695,"",COUNTIF(G696,1000)+COUNTIF(G696,2000))</f>
        <v/>
      </c>
      <c r="I696" t="str">
        <f>IF(H696=0,"",IF(C696=C695,"",SUM($H$3:H696)))</f>
        <v/>
      </c>
    </row>
    <row r="697" spans="2:9">
      <c r="B697" s="164">
        <v>45856</v>
      </c>
      <c r="C697" t="s">
        <v>140</v>
      </c>
      <c r="D697">
        <v>2</v>
      </c>
      <c r="E697">
        <v>1690000</v>
      </c>
      <c r="F697">
        <v>61862062</v>
      </c>
      <c r="G697">
        <v>1000</v>
      </c>
      <c r="H697" t="str">
        <f>IF(C697=C696,"",COUNTIF(G697,1000)+COUNTIF(G697,2000))</f>
        <v/>
      </c>
      <c r="I697" t="str">
        <f>IF(H697=0,"",IF(C697=C696,"",SUM($H$3:H697)))</f>
        <v/>
      </c>
    </row>
    <row r="698" spans="2:9">
      <c r="B698" s="164">
        <v>45856</v>
      </c>
      <c r="C698" t="s">
        <v>140</v>
      </c>
      <c r="D698">
        <v>2</v>
      </c>
      <c r="E698">
        <v>1690000</v>
      </c>
      <c r="F698">
        <v>61862062</v>
      </c>
      <c r="G698">
        <v>1000</v>
      </c>
      <c r="H698" t="str">
        <f>IF(C698=C697,"",COUNTIF(G698,1000)+COUNTIF(G698,2000))</f>
        <v/>
      </c>
      <c r="I698" t="str">
        <f>IF(H698=0,"",IF(C698=C697,"",SUM($H$3:H698)))</f>
        <v/>
      </c>
    </row>
    <row r="699" spans="2:9">
      <c r="B699" s="164">
        <v>45856</v>
      </c>
      <c r="C699" t="s">
        <v>140</v>
      </c>
      <c r="D699">
        <v>2</v>
      </c>
      <c r="E699">
        <v>1690000</v>
      </c>
      <c r="F699">
        <v>61862062</v>
      </c>
      <c r="G699">
        <v>1000</v>
      </c>
      <c r="H699" t="str">
        <f>IF(C699=C698,"",COUNTIF(G699,1000)+COUNTIF(G699,2000))</f>
        <v/>
      </c>
      <c r="I699" t="str">
        <f>IF(H699=0,"",IF(C699=C698,"",SUM($H$3:H699)))</f>
        <v/>
      </c>
    </row>
    <row r="700" spans="2:9">
      <c r="B700" s="164">
        <v>45856</v>
      </c>
      <c r="C700" t="s">
        <v>140</v>
      </c>
      <c r="D700">
        <v>2</v>
      </c>
      <c r="E700">
        <v>1690000</v>
      </c>
      <c r="F700">
        <v>61862062</v>
      </c>
      <c r="G700">
        <v>1000</v>
      </c>
      <c r="H700" t="str">
        <f>IF(C700=C699,"",COUNTIF(G700,1000)+COUNTIF(G700,2000))</f>
        <v/>
      </c>
      <c r="I700" t="str">
        <f>IF(H700=0,"",IF(C700=C699,"",SUM($H$3:H700)))</f>
        <v/>
      </c>
    </row>
    <row r="701" spans="2:9">
      <c r="B701" s="164">
        <v>45856</v>
      </c>
      <c r="C701" t="s">
        <v>140</v>
      </c>
      <c r="D701">
        <v>2</v>
      </c>
      <c r="E701">
        <v>1690000</v>
      </c>
      <c r="F701">
        <v>61862062</v>
      </c>
      <c r="G701">
        <v>1000</v>
      </c>
      <c r="H701" t="str">
        <f>IF(C701=C700,"",COUNTIF(G701,1000)+COUNTIF(G701,2000))</f>
        <v/>
      </c>
      <c r="I701" t="str">
        <f>IF(H701=0,"",IF(C701=C700,"",SUM($H$3:H701)))</f>
        <v/>
      </c>
    </row>
    <row r="702" spans="2:9">
      <c r="B702" s="164">
        <v>45856</v>
      </c>
      <c r="C702" t="s">
        <v>140</v>
      </c>
      <c r="D702">
        <v>1</v>
      </c>
      <c r="E702">
        <v>1690000</v>
      </c>
      <c r="F702">
        <v>61862062</v>
      </c>
      <c r="G702">
        <v>1000</v>
      </c>
      <c r="H702" t="str">
        <f>IF(C702=C701,"",COUNTIF(G702,1000)+COUNTIF(G702,2000))</f>
        <v/>
      </c>
      <c r="I702" t="str">
        <f>IF(H702=0,"",IF(C702=C701,"",SUM($H$3:H702)))</f>
        <v/>
      </c>
    </row>
    <row r="703" spans="2:9">
      <c r="B703" s="164">
        <v>45856</v>
      </c>
      <c r="C703" t="s">
        <v>140</v>
      </c>
      <c r="D703">
        <v>2</v>
      </c>
      <c r="E703">
        <v>1690000</v>
      </c>
      <c r="F703">
        <v>61862062</v>
      </c>
      <c r="G703">
        <v>1000</v>
      </c>
      <c r="H703" t="str">
        <f>IF(C703=C702,"",COUNTIF(G703,1000)+COUNTIF(G703,2000))</f>
        <v/>
      </c>
      <c r="I703" t="str">
        <f>IF(H703=0,"",IF(C703=C702,"",SUM($H$3:H703)))</f>
        <v/>
      </c>
    </row>
    <row r="704" spans="2:9">
      <c r="B704" s="164">
        <v>45856</v>
      </c>
      <c r="C704" t="s">
        <v>140</v>
      </c>
      <c r="D704">
        <v>2</v>
      </c>
      <c r="E704">
        <v>1690000</v>
      </c>
      <c r="F704">
        <v>61862062</v>
      </c>
      <c r="G704">
        <v>1000</v>
      </c>
      <c r="H704" t="str">
        <f>IF(C704=C703,"",COUNTIF(G704,1000)+COUNTIF(G704,2000))</f>
        <v/>
      </c>
      <c r="I704" t="str">
        <f>IF(H704=0,"",IF(C704=C703,"",SUM($H$3:H704)))</f>
        <v/>
      </c>
    </row>
    <row r="705" spans="2:9">
      <c r="B705" s="164">
        <v>45856</v>
      </c>
      <c r="C705" t="s">
        <v>140</v>
      </c>
      <c r="D705">
        <v>2</v>
      </c>
      <c r="E705">
        <v>1690000</v>
      </c>
      <c r="F705">
        <v>61862062</v>
      </c>
      <c r="G705">
        <v>1000</v>
      </c>
      <c r="H705" t="str">
        <f>IF(C705=C704,"",COUNTIF(G705,1000)+COUNTIF(G705,2000))</f>
        <v/>
      </c>
      <c r="I705" t="str">
        <f>IF(H705=0,"",IF(C705=C704,"",SUM($H$3:H705)))</f>
        <v/>
      </c>
    </row>
    <row r="706" spans="2:9">
      <c r="B706" s="164">
        <v>45856</v>
      </c>
      <c r="C706" t="s">
        <v>140</v>
      </c>
      <c r="D706">
        <v>2</v>
      </c>
      <c r="E706">
        <v>1690000</v>
      </c>
      <c r="F706">
        <v>61862062</v>
      </c>
      <c r="G706">
        <v>1000</v>
      </c>
      <c r="H706" t="str">
        <f>IF(C706=C705,"",COUNTIF(G706,1000)+COUNTIF(G706,2000))</f>
        <v/>
      </c>
      <c r="I706" t="str">
        <f>IF(H706=0,"",IF(C706=C705,"",SUM($H$3:H706)))</f>
        <v/>
      </c>
    </row>
    <row r="707" spans="2:9">
      <c r="B707" s="164">
        <v>45856</v>
      </c>
      <c r="C707" t="s">
        <v>140</v>
      </c>
      <c r="D707">
        <v>2</v>
      </c>
      <c r="E707">
        <v>1690000</v>
      </c>
      <c r="F707">
        <v>61862062</v>
      </c>
      <c r="G707">
        <v>1000</v>
      </c>
      <c r="H707" t="str">
        <f>IF(C707=C706,"",COUNTIF(G707,1000)+COUNTIF(G707,2000))</f>
        <v/>
      </c>
      <c r="I707" t="str">
        <f>IF(H707=0,"",IF(C707=C706,"",SUM($H$3:H707)))</f>
        <v/>
      </c>
    </row>
    <row r="708" spans="2:9">
      <c r="B708" s="164">
        <v>45856</v>
      </c>
      <c r="C708" t="s">
        <v>140</v>
      </c>
      <c r="D708">
        <v>2</v>
      </c>
      <c r="E708">
        <v>1690000</v>
      </c>
      <c r="F708">
        <v>61862062</v>
      </c>
      <c r="G708">
        <v>1000</v>
      </c>
      <c r="H708" t="str">
        <f>IF(C708=C707,"",COUNTIF(G708,1000)+COUNTIF(G708,2000))</f>
        <v/>
      </c>
      <c r="I708" t="str">
        <f>IF(H708=0,"",IF(C708=C707,"",SUM($H$3:H708)))</f>
        <v/>
      </c>
    </row>
    <row r="709" spans="2:9">
      <c r="B709" s="164">
        <v>45856</v>
      </c>
      <c r="C709" t="s">
        <v>140</v>
      </c>
      <c r="D709">
        <v>2</v>
      </c>
      <c r="E709">
        <v>1690000</v>
      </c>
      <c r="F709">
        <v>61862062</v>
      </c>
      <c r="G709">
        <v>1000</v>
      </c>
      <c r="H709" t="str">
        <f>IF(C709=C708,"",COUNTIF(G709,1000)+COUNTIF(G709,2000))</f>
        <v/>
      </c>
      <c r="I709" t="str">
        <f>IF(H709=0,"",IF(C709=C708,"",SUM($H$3:H709)))</f>
        <v/>
      </c>
    </row>
    <row r="710" spans="2:9">
      <c r="B710" s="164">
        <v>45856</v>
      </c>
      <c r="C710" t="s">
        <v>140</v>
      </c>
      <c r="D710">
        <v>2</v>
      </c>
      <c r="E710">
        <v>1690000</v>
      </c>
      <c r="F710">
        <v>61862062</v>
      </c>
      <c r="G710">
        <v>1000</v>
      </c>
      <c r="H710" t="str">
        <f>IF(C710=C709,"",COUNTIF(G710,1000)+COUNTIF(G710,2000))</f>
        <v/>
      </c>
      <c r="I710" t="str">
        <f>IF(H710=0,"",IF(C710=C709,"",SUM($H$3:H710)))</f>
        <v/>
      </c>
    </row>
    <row r="711" spans="2:9">
      <c r="B711" s="164">
        <v>45856</v>
      </c>
      <c r="C711" t="s">
        <v>140</v>
      </c>
      <c r="D711">
        <v>2</v>
      </c>
      <c r="E711">
        <v>1690000</v>
      </c>
      <c r="F711">
        <v>61862062</v>
      </c>
      <c r="G711">
        <v>1000</v>
      </c>
      <c r="H711" t="str">
        <f>IF(C711=C710,"",COUNTIF(G711,1000)+COUNTIF(G711,2000))</f>
        <v/>
      </c>
      <c r="I711" t="str">
        <f>IF(H711=0,"",IF(C711=C710,"",SUM($H$3:H711)))</f>
        <v/>
      </c>
    </row>
    <row r="712" spans="2:9">
      <c r="B712" s="164">
        <v>45856</v>
      </c>
      <c r="C712" t="s">
        <v>140</v>
      </c>
      <c r="D712">
        <v>2</v>
      </c>
      <c r="E712">
        <v>1690000</v>
      </c>
      <c r="F712">
        <v>61862062</v>
      </c>
      <c r="G712">
        <v>1000</v>
      </c>
      <c r="H712" t="str">
        <f>IF(C712=C711,"",COUNTIF(G712,1000)+COUNTIF(G712,2000))</f>
        <v/>
      </c>
      <c r="I712" t="str">
        <f>IF(H712=0,"",IF(C712=C711,"",SUM($H$3:H712)))</f>
        <v/>
      </c>
    </row>
    <row r="713" spans="2:9">
      <c r="B713" s="164">
        <v>45856</v>
      </c>
      <c r="C713" t="s">
        <v>140</v>
      </c>
      <c r="D713">
        <v>3</v>
      </c>
      <c r="E713">
        <v>1690000</v>
      </c>
      <c r="F713">
        <v>61862062</v>
      </c>
      <c r="G713">
        <v>1000</v>
      </c>
      <c r="H713" t="str">
        <f>IF(C713=C712,"",COUNTIF(G713,1000)+COUNTIF(G713,2000))</f>
        <v/>
      </c>
      <c r="I713" t="str">
        <f>IF(H713=0,"",IF(C713=C712,"",SUM($H$3:H713)))</f>
        <v/>
      </c>
    </row>
    <row r="714" spans="2:9">
      <c r="B714" s="164">
        <v>45856</v>
      </c>
      <c r="C714" t="s">
        <v>140</v>
      </c>
      <c r="D714">
        <v>3</v>
      </c>
      <c r="E714">
        <v>1690000</v>
      </c>
      <c r="F714">
        <v>61862062</v>
      </c>
      <c r="G714">
        <v>1000</v>
      </c>
      <c r="H714" t="str">
        <f>IF(C714=C713,"",COUNTIF(G714,1000)+COUNTIF(G714,2000))</f>
        <v/>
      </c>
      <c r="I714" t="str">
        <f>IF(H714=0,"",IF(C714=C713,"",SUM($H$3:H714)))</f>
        <v/>
      </c>
    </row>
    <row r="715" spans="2:9">
      <c r="B715" s="164">
        <v>45856</v>
      </c>
      <c r="C715" t="s">
        <v>140</v>
      </c>
      <c r="D715">
        <v>3</v>
      </c>
      <c r="E715">
        <v>1690000</v>
      </c>
      <c r="F715">
        <v>61862062</v>
      </c>
      <c r="G715">
        <v>1000</v>
      </c>
      <c r="H715" t="str">
        <f>IF(C715=C714,"",COUNTIF(G715,1000)+COUNTIF(G715,2000))</f>
        <v/>
      </c>
      <c r="I715" t="str">
        <f>IF(H715=0,"",IF(C715=C714,"",SUM($H$3:H715)))</f>
        <v/>
      </c>
    </row>
    <row r="716" spans="2:9">
      <c r="B716" s="164">
        <v>45856</v>
      </c>
      <c r="C716" t="s">
        <v>140</v>
      </c>
      <c r="D716">
        <v>3</v>
      </c>
      <c r="E716">
        <v>1690000</v>
      </c>
      <c r="F716">
        <v>61862062</v>
      </c>
      <c r="G716">
        <v>1000</v>
      </c>
      <c r="H716" t="str">
        <f>IF(C716=C715,"",COUNTIF(G716,1000)+COUNTIF(G716,2000))</f>
        <v/>
      </c>
      <c r="I716" t="str">
        <f>IF(H716=0,"",IF(C716=C715,"",SUM($H$3:H716)))</f>
        <v/>
      </c>
    </row>
    <row r="717" spans="2:9">
      <c r="B717" s="164">
        <v>45856</v>
      </c>
      <c r="C717" t="s">
        <v>140</v>
      </c>
      <c r="D717">
        <v>3</v>
      </c>
      <c r="E717">
        <v>1690000</v>
      </c>
      <c r="F717">
        <v>61862062</v>
      </c>
      <c r="G717">
        <v>1000</v>
      </c>
      <c r="H717" t="str">
        <f>IF(C717=C716,"",COUNTIF(G717,1000)+COUNTIF(G717,2000))</f>
        <v/>
      </c>
      <c r="I717" t="str">
        <f>IF(H717=0,"",IF(C717=C716,"",SUM($H$3:H717)))</f>
        <v/>
      </c>
    </row>
    <row r="718" spans="2:9">
      <c r="B718" s="164">
        <v>45856</v>
      </c>
      <c r="C718" t="s">
        <v>140</v>
      </c>
      <c r="D718">
        <v>3</v>
      </c>
      <c r="E718">
        <v>1690000</v>
      </c>
      <c r="F718">
        <v>61862062</v>
      </c>
      <c r="G718">
        <v>1000</v>
      </c>
      <c r="H718" t="str">
        <f>IF(C718=C717,"",COUNTIF(G718,1000)+COUNTIF(G718,2000))</f>
        <v/>
      </c>
      <c r="I718" t="str">
        <f>IF(H718=0,"",IF(C718=C717,"",SUM($H$3:H718)))</f>
        <v/>
      </c>
    </row>
    <row r="719" spans="2:9">
      <c r="B719" s="164">
        <v>45856</v>
      </c>
      <c r="C719" t="s">
        <v>140</v>
      </c>
      <c r="D719">
        <v>3</v>
      </c>
      <c r="E719">
        <v>1690000</v>
      </c>
      <c r="F719">
        <v>61862062</v>
      </c>
      <c r="G719">
        <v>1000</v>
      </c>
      <c r="H719" t="str">
        <f>IF(C719=C718,"",COUNTIF(G719,1000)+COUNTIF(G719,2000))</f>
        <v/>
      </c>
      <c r="I719" t="str">
        <f>IF(H719=0,"",IF(C719=C718,"",SUM($H$3:H719)))</f>
        <v/>
      </c>
    </row>
    <row r="720" spans="2:9">
      <c r="B720" s="164">
        <v>45856</v>
      </c>
      <c r="C720" t="s">
        <v>140</v>
      </c>
      <c r="D720">
        <v>3</v>
      </c>
      <c r="E720">
        <v>1690000</v>
      </c>
      <c r="F720">
        <v>61862062</v>
      </c>
      <c r="G720">
        <v>1000</v>
      </c>
      <c r="H720" t="str">
        <f>IF(C720=C719,"",COUNTIF(G720,1000)+COUNTIF(G720,2000))</f>
        <v/>
      </c>
      <c r="I720" t="str">
        <f>IF(H720=0,"",IF(C720=C719,"",SUM($H$3:H720)))</f>
        <v/>
      </c>
    </row>
    <row r="721" spans="2:9">
      <c r="B721" s="164">
        <v>45856</v>
      </c>
      <c r="C721" t="s">
        <v>140</v>
      </c>
      <c r="D721">
        <v>3</v>
      </c>
      <c r="E721">
        <v>1690000</v>
      </c>
      <c r="F721">
        <v>61862062</v>
      </c>
      <c r="G721">
        <v>1000</v>
      </c>
      <c r="H721" t="str">
        <f>IF(C721=C720,"",COUNTIF(G721,1000)+COUNTIF(G721,2000))</f>
        <v/>
      </c>
      <c r="I721" t="str">
        <f>IF(H721=0,"",IF(C721=C720,"",SUM($H$3:H721)))</f>
        <v/>
      </c>
    </row>
    <row r="722" spans="2:9">
      <c r="B722" s="164">
        <v>45856</v>
      </c>
      <c r="C722" t="s">
        <v>140</v>
      </c>
      <c r="D722">
        <v>3</v>
      </c>
      <c r="E722">
        <v>1690000</v>
      </c>
      <c r="F722">
        <v>61862062</v>
      </c>
      <c r="G722">
        <v>1000</v>
      </c>
      <c r="H722" t="str">
        <f>IF(C722=C721,"",COUNTIF(G722,1000)+COUNTIF(G722,2000))</f>
        <v/>
      </c>
      <c r="I722" t="str">
        <f>IF(H722=0,"",IF(C722=C721,"",SUM($H$3:H722)))</f>
        <v/>
      </c>
    </row>
    <row r="723" spans="2:9">
      <c r="B723" s="164">
        <v>45856</v>
      </c>
      <c r="C723" t="s">
        <v>140</v>
      </c>
      <c r="D723">
        <v>3</v>
      </c>
      <c r="E723">
        <v>1690000</v>
      </c>
      <c r="F723">
        <v>61862062</v>
      </c>
      <c r="G723">
        <v>1000</v>
      </c>
      <c r="H723" t="str">
        <f>IF(C723=C722,"",COUNTIF(G723,1000)+COUNTIF(G723,2000))</f>
        <v/>
      </c>
      <c r="I723" t="str">
        <f>IF(H723=0,"",IF(C723=C722,"",SUM($H$3:H723)))</f>
        <v/>
      </c>
    </row>
    <row r="724" spans="2:9">
      <c r="B724" s="164">
        <v>45856</v>
      </c>
      <c r="C724" t="s">
        <v>140</v>
      </c>
      <c r="D724">
        <v>3</v>
      </c>
      <c r="E724">
        <v>1690000</v>
      </c>
      <c r="F724">
        <v>61862062</v>
      </c>
      <c r="G724">
        <v>1000</v>
      </c>
      <c r="H724" t="str">
        <f>IF(C724=C723,"",COUNTIF(G724,1000)+COUNTIF(G724,2000))</f>
        <v/>
      </c>
      <c r="I724" t="str">
        <f>IF(H724=0,"",IF(C724=C723,"",SUM($H$3:H724)))</f>
        <v/>
      </c>
    </row>
    <row r="725" spans="2:9">
      <c r="B725" s="164">
        <v>45856</v>
      </c>
      <c r="C725" t="s">
        <v>140</v>
      </c>
      <c r="D725">
        <v>3</v>
      </c>
      <c r="E725">
        <v>1690000</v>
      </c>
      <c r="F725">
        <v>61862062</v>
      </c>
      <c r="G725">
        <v>1000</v>
      </c>
      <c r="H725" t="str">
        <f>IF(C725=C724,"",COUNTIF(G725,1000)+COUNTIF(G725,2000))</f>
        <v/>
      </c>
      <c r="I725" t="str">
        <f>IF(H725=0,"",IF(C725=C724,"",SUM($H$3:H725)))</f>
        <v/>
      </c>
    </row>
    <row r="726" spans="2:9">
      <c r="B726" s="164">
        <v>45856</v>
      </c>
      <c r="C726" t="s">
        <v>140</v>
      </c>
      <c r="D726">
        <v>3</v>
      </c>
      <c r="E726">
        <v>1690000</v>
      </c>
      <c r="F726">
        <v>61862062</v>
      </c>
      <c r="G726">
        <v>1000</v>
      </c>
      <c r="H726" t="str">
        <f>IF(C726=C725,"",COUNTIF(G726,1000)+COUNTIF(G726,2000))</f>
        <v/>
      </c>
      <c r="I726" t="str">
        <f>IF(H726=0,"",IF(C726=C725,"",SUM($H$3:H726)))</f>
        <v/>
      </c>
    </row>
    <row r="727" spans="2:9">
      <c r="B727" s="164">
        <v>45856</v>
      </c>
      <c r="C727" t="s">
        <v>140</v>
      </c>
      <c r="D727">
        <v>3</v>
      </c>
      <c r="E727">
        <v>1690000</v>
      </c>
      <c r="F727">
        <v>61862062</v>
      </c>
      <c r="G727">
        <v>1000</v>
      </c>
      <c r="H727" t="str">
        <f>IF(C727=C726,"",COUNTIF(G727,1000)+COUNTIF(G727,2000))</f>
        <v/>
      </c>
      <c r="I727" t="str">
        <f>IF(H727=0,"",IF(C727=C726,"",SUM($H$3:H727)))</f>
        <v/>
      </c>
    </row>
    <row r="728" spans="2:9">
      <c r="B728" s="164">
        <v>45856</v>
      </c>
      <c r="C728" t="s">
        <v>140</v>
      </c>
      <c r="D728">
        <v>3</v>
      </c>
      <c r="E728">
        <v>1690000</v>
      </c>
      <c r="F728">
        <v>61862062</v>
      </c>
      <c r="G728">
        <v>1000</v>
      </c>
      <c r="H728" t="str">
        <f>IF(C728=C727,"",COUNTIF(G728,1000)+COUNTIF(G728,2000))</f>
        <v/>
      </c>
      <c r="I728" t="str">
        <f>IF(H728=0,"",IF(C728=C727,"",SUM($H$3:H728)))</f>
        <v/>
      </c>
    </row>
    <row r="729" spans="2:9">
      <c r="B729" s="164">
        <v>45856</v>
      </c>
      <c r="C729" t="s">
        <v>140</v>
      </c>
      <c r="D729">
        <v>3</v>
      </c>
      <c r="E729">
        <v>1690000</v>
      </c>
      <c r="F729">
        <v>61862062</v>
      </c>
      <c r="G729">
        <v>1000</v>
      </c>
      <c r="H729" t="str">
        <f>IF(C729=C728,"",COUNTIF(G729,1000)+COUNTIF(G729,2000))</f>
        <v/>
      </c>
      <c r="I729" t="str">
        <f>IF(H729=0,"",IF(C729=C728,"",SUM($H$3:H729)))</f>
        <v/>
      </c>
    </row>
    <row r="730" spans="2:9">
      <c r="B730" s="164">
        <v>45856</v>
      </c>
      <c r="C730" t="s">
        <v>140</v>
      </c>
      <c r="D730">
        <v>3</v>
      </c>
      <c r="E730">
        <v>1690000</v>
      </c>
      <c r="F730">
        <v>61862062</v>
      </c>
      <c r="G730">
        <v>1000</v>
      </c>
      <c r="H730" t="str">
        <f>IF(C730=C729,"",COUNTIF(G730,1000)+COUNTIF(G730,2000))</f>
        <v/>
      </c>
      <c r="I730" t="str">
        <f>IF(H730=0,"",IF(C730=C729,"",SUM($H$3:H730)))</f>
        <v/>
      </c>
    </row>
    <row r="731" spans="2:9">
      <c r="B731" s="164">
        <v>45856</v>
      </c>
      <c r="C731" t="s">
        <v>140</v>
      </c>
      <c r="D731">
        <v>3</v>
      </c>
      <c r="E731">
        <v>1690000</v>
      </c>
      <c r="F731">
        <v>61862062</v>
      </c>
      <c r="G731">
        <v>1000</v>
      </c>
      <c r="H731" t="str">
        <f>IF(C731=C730,"",COUNTIF(G731,1000)+COUNTIF(G731,2000))</f>
        <v/>
      </c>
      <c r="I731" t="str">
        <f>IF(H731=0,"",IF(C731=C730,"",SUM($H$3:H731)))</f>
        <v/>
      </c>
    </row>
    <row r="732" spans="2:9">
      <c r="B732" s="164">
        <v>45856</v>
      </c>
      <c r="C732" t="s">
        <v>140</v>
      </c>
      <c r="D732">
        <v>3</v>
      </c>
      <c r="E732">
        <v>1690000</v>
      </c>
      <c r="F732">
        <v>61862062</v>
      </c>
      <c r="G732">
        <v>1000</v>
      </c>
      <c r="H732" t="str">
        <f>IF(C732=C731,"",COUNTIF(G732,1000)+COUNTIF(G732,2000))</f>
        <v/>
      </c>
      <c r="I732" t="str">
        <f>IF(H732=0,"",IF(C732=C731,"",SUM($H$3:H732)))</f>
        <v/>
      </c>
    </row>
    <row r="733" spans="2:9">
      <c r="B733" s="164">
        <v>45856</v>
      </c>
      <c r="C733" t="s">
        <v>140</v>
      </c>
      <c r="D733">
        <v>3</v>
      </c>
      <c r="E733">
        <v>1690000</v>
      </c>
      <c r="F733">
        <v>61862062</v>
      </c>
      <c r="G733">
        <v>1000</v>
      </c>
      <c r="H733" t="str">
        <f>IF(C733=C732,"",COUNTIF(G733,1000)+COUNTIF(G733,2000))</f>
        <v/>
      </c>
      <c r="I733" t="str">
        <f>IF(H733=0,"",IF(C733=C732,"",SUM($H$3:H733)))</f>
        <v/>
      </c>
    </row>
    <row r="734" spans="2:9">
      <c r="B734" s="164">
        <v>45856</v>
      </c>
      <c r="C734" t="s">
        <v>140</v>
      </c>
      <c r="D734">
        <v>3</v>
      </c>
      <c r="E734">
        <v>1690000</v>
      </c>
      <c r="F734">
        <v>61862062</v>
      </c>
      <c r="G734">
        <v>1000</v>
      </c>
      <c r="H734" t="str">
        <f>IF(C734=C733,"",COUNTIF(G734,1000)+COUNTIF(G734,2000))</f>
        <v/>
      </c>
      <c r="I734" t="str">
        <f>IF(H734=0,"",IF(C734=C733,"",SUM($H$3:H734)))</f>
        <v/>
      </c>
    </row>
    <row r="735" spans="2:9">
      <c r="B735" s="164">
        <v>45856</v>
      </c>
      <c r="C735" t="s">
        <v>140</v>
      </c>
      <c r="D735">
        <v>3</v>
      </c>
      <c r="E735">
        <v>1690000</v>
      </c>
      <c r="F735">
        <v>61862062</v>
      </c>
      <c r="G735">
        <v>1000</v>
      </c>
      <c r="H735" t="str">
        <f>IF(C735=C734,"",COUNTIF(G735,1000)+COUNTIF(G735,2000))</f>
        <v/>
      </c>
      <c r="I735" t="str">
        <f>IF(H735=0,"",IF(C735=C734,"",SUM($H$3:H735)))</f>
        <v/>
      </c>
    </row>
    <row r="736" spans="2:9">
      <c r="B736" s="164">
        <v>45856</v>
      </c>
      <c r="C736" t="s">
        <v>140</v>
      </c>
      <c r="D736">
        <v>3</v>
      </c>
      <c r="E736">
        <v>1690000</v>
      </c>
      <c r="F736">
        <v>61862062</v>
      </c>
      <c r="G736">
        <v>1000</v>
      </c>
      <c r="H736" t="str">
        <f>IF(C736=C735,"",COUNTIF(G736,1000)+COUNTIF(G736,2000))</f>
        <v/>
      </c>
      <c r="I736" t="str">
        <f>IF(H736=0,"",IF(C736=C735,"",SUM($H$3:H736)))</f>
        <v/>
      </c>
    </row>
    <row r="737" spans="2:9">
      <c r="B737" s="164">
        <v>45856</v>
      </c>
      <c r="C737" t="s">
        <v>140</v>
      </c>
      <c r="D737">
        <v>3</v>
      </c>
      <c r="E737">
        <v>1690000</v>
      </c>
      <c r="F737">
        <v>61862062</v>
      </c>
      <c r="G737">
        <v>1000</v>
      </c>
      <c r="H737" t="str">
        <f>IF(C737=C736,"",COUNTIF(G737,1000)+COUNTIF(G737,2000))</f>
        <v/>
      </c>
      <c r="I737" t="str">
        <f>IF(H737=0,"",IF(C737=C736,"",SUM($H$3:H737)))</f>
        <v/>
      </c>
    </row>
    <row r="738" spans="2:9">
      <c r="B738" s="164">
        <v>45856</v>
      </c>
      <c r="C738" t="s">
        <v>140</v>
      </c>
      <c r="D738">
        <v>3</v>
      </c>
      <c r="E738">
        <v>1690000</v>
      </c>
      <c r="F738">
        <v>61862062</v>
      </c>
      <c r="G738">
        <v>1000</v>
      </c>
      <c r="H738" t="str">
        <f>IF(C738=C737,"",COUNTIF(G738,1000)+COUNTIF(G738,2000))</f>
        <v/>
      </c>
      <c r="I738" t="str">
        <f>IF(H738=0,"",IF(C738=C737,"",SUM($H$3:H738)))</f>
        <v/>
      </c>
    </row>
    <row r="739" spans="2:9">
      <c r="B739" s="164">
        <v>45856</v>
      </c>
      <c r="C739" t="s">
        <v>140</v>
      </c>
      <c r="D739">
        <v>3</v>
      </c>
      <c r="E739">
        <v>1690000</v>
      </c>
      <c r="F739">
        <v>61862062</v>
      </c>
      <c r="G739">
        <v>1000</v>
      </c>
      <c r="H739" t="str">
        <f>IF(C739=C738,"",COUNTIF(G739,1000)+COUNTIF(G739,2000))</f>
        <v/>
      </c>
      <c r="I739" t="str">
        <f>IF(H739=0,"",IF(C739=C738,"",SUM($H$3:H739)))</f>
        <v/>
      </c>
    </row>
    <row r="740" spans="2:9">
      <c r="B740" s="164">
        <v>45856</v>
      </c>
      <c r="C740" t="s">
        <v>140</v>
      </c>
      <c r="D740">
        <v>3</v>
      </c>
      <c r="E740">
        <v>1690000</v>
      </c>
      <c r="F740">
        <v>61862062</v>
      </c>
      <c r="G740">
        <v>1000</v>
      </c>
      <c r="H740" t="str">
        <f>IF(C740=C739,"",COUNTIF(G740,1000)+COUNTIF(G740,2000))</f>
        <v/>
      </c>
      <c r="I740" t="str">
        <f>IF(H740=0,"",IF(C740=C739,"",SUM($H$3:H740)))</f>
        <v/>
      </c>
    </row>
    <row r="741" spans="2:9">
      <c r="B741" s="164">
        <v>45856</v>
      </c>
      <c r="C741" t="s">
        <v>140</v>
      </c>
      <c r="D741">
        <v>3</v>
      </c>
      <c r="E741">
        <v>1690000</v>
      </c>
      <c r="F741">
        <v>61862062</v>
      </c>
      <c r="G741">
        <v>1000</v>
      </c>
      <c r="H741" t="str">
        <f>IF(C741=C740,"",COUNTIF(G741,1000)+COUNTIF(G741,2000))</f>
        <v/>
      </c>
      <c r="I741" t="str">
        <f>IF(H741=0,"",IF(C741=C740,"",SUM($H$3:H741)))</f>
        <v/>
      </c>
    </row>
    <row r="742" spans="2:9">
      <c r="B742" s="164">
        <v>45856</v>
      </c>
      <c r="C742" t="s">
        <v>140</v>
      </c>
      <c r="D742">
        <v>3</v>
      </c>
      <c r="E742">
        <v>1690000</v>
      </c>
      <c r="F742">
        <v>61862062</v>
      </c>
      <c r="G742">
        <v>1000</v>
      </c>
      <c r="H742" t="str">
        <f>IF(C742=C741,"",COUNTIF(G742,1000)+COUNTIF(G742,2000))</f>
        <v/>
      </c>
      <c r="I742" t="str">
        <f>IF(H742=0,"",IF(C742=C741,"",SUM($H$3:H742)))</f>
        <v/>
      </c>
    </row>
    <row r="743" spans="2:9">
      <c r="B743" s="164">
        <v>45856</v>
      </c>
      <c r="C743" t="s">
        <v>140</v>
      </c>
      <c r="D743">
        <v>3</v>
      </c>
      <c r="E743">
        <v>1690000</v>
      </c>
      <c r="F743">
        <v>61862062</v>
      </c>
      <c r="G743">
        <v>1000</v>
      </c>
      <c r="H743" t="str">
        <f>IF(C743=C742,"",COUNTIF(G743,1000)+COUNTIF(G743,2000))</f>
        <v/>
      </c>
      <c r="I743" t="str">
        <f>IF(H743=0,"",IF(C743=C742,"",SUM($H$3:H743)))</f>
        <v/>
      </c>
    </row>
    <row r="744" spans="2:9">
      <c r="B744" s="164">
        <v>45856</v>
      </c>
      <c r="C744" t="s">
        <v>140</v>
      </c>
      <c r="D744">
        <v>3</v>
      </c>
      <c r="E744">
        <v>1690000</v>
      </c>
      <c r="F744">
        <v>61862062</v>
      </c>
      <c r="G744">
        <v>1000</v>
      </c>
      <c r="H744" t="str">
        <f>IF(C744=C743,"",COUNTIF(G744,1000)+COUNTIF(G744,2000))</f>
        <v/>
      </c>
      <c r="I744" t="str">
        <f>IF(H744=0,"",IF(C744=C743,"",SUM($H$3:H744)))</f>
        <v/>
      </c>
    </row>
    <row r="745" spans="2:9">
      <c r="B745" s="164">
        <v>45856</v>
      </c>
      <c r="C745" t="s">
        <v>140</v>
      </c>
      <c r="D745">
        <v>2</v>
      </c>
      <c r="E745">
        <v>1690000</v>
      </c>
      <c r="F745">
        <v>61862062</v>
      </c>
      <c r="G745">
        <v>1000</v>
      </c>
      <c r="H745" t="str">
        <f>IF(C745=C744,"",COUNTIF(G745,1000)+COUNTIF(G745,2000))</f>
        <v/>
      </c>
      <c r="I745" t="str">
        <f>IF(H745=0,"",IF(C745=C744,"",SUM($H$3:H745)))</f>
        <v/>
      </c>
    </row>
    <row r="746" spans="2:9">
      <c r="B746" s="164">
        <v>45856</v>
      </c>
      <c r="C746" t="s">
        <v>140</v>
      </c>
      <c r="D746">
        <v>2</v>
      </c>
      <c r="E746">
        <v>1690000</v>
      </c>
      <c r="F746">
        <v>61862062</v>
      </c>
      <c r="G746">
        <v>1000</v>
      </c>
      <c r="H746" t="str">
        <f>IF(C746=C745,"",COUNTIF(G746,1000)+COUNTIF(G746,2000))</f>
        <v/>
      </c>
      <c r="I746" t="str">
        <f>IF(H746=0,"",IF(C746=C745,"",SUM($H$3:H746)))</f>
        <v/>
      </c>
    </row>
    <row r="747" spans="2:9">
      <c r="B747" s="164">
        <v>45856</v>
      </c>
      <c r="C747" t="s">
        <v>140</v>
      </c>
      <c r="D747">
        <v>2</v>
      </c>
      <c r="E747">
        <v>1690000</v>
      </c>
      <c r="F747">
        <v>61862062</v>
      </c>
      <c r="G747">
        <v>1000</v>
      </c>
      <c r="H747" t="str">
        <f>IF(C747=C746,"",COUNTIF(G747,1000)+COUNTIF(G747,2000))</f>
        <v/>
      </c>
      <c r="I747" t="str">
        <f>IF(H747=0,"",IF(C747=C746,"",SUM($H$3:H747)))</f>
        <v/>
      </c>
    </row>
    <row r="748" spans="2:9">
      <c r="B748" s="164">
        <v>45856</v>
      </c>
      <c r="C748" t="s">
        <v>140</v>
      </c>
      <c r="D748">
        <v>2</v>
      </c>
      <c r="E748">
        <v>1690000</v>
      </c>
      <c r="F748">
        <v>61862062</v>
      </c>
      <c r="G748">
        <v>1000</v>
      </c>
      <c r="H748" t="str">
        <f>IF(C748=C747,"",COUNTIF(G748,1000)+COUNTIF(G748,2000))</f>
        <v/>
      </c>
      <c r="I748" t="str">
        <f>IF(H748=0,"",IF(C748=C747,"",SUM($H$3:H748)))</f>
        <v/>
      </c>
    </row>
    <row r="749" spans="2:9">
      <c r="B749" s="164">
        <v>45856</v>
      </c>
      <c r="C749" t="s">
        <v>140</v>
      </c>
      <c r="D749">
        <v>2</v>
      </c>
      <c r="E749">
        <v>1690000</v>
      </c>
      <c r="F749">
        <v>61862062</v>
      </c>
      <c r="G749">
        <v>1000</v>
      </c>
      <c r="H749" t="str">
        <f>IF(C749=C748,"",COUNTIF(G749,1000)+COUNTIF(G749,2000))</f>
        <v/>
      </c>
      <c r="I749" t="str">
        <f>IF(H749=0,"",IF(C749=C748,"",SUM($H$3:H749)))</f>
        <v/>
      </c>
    </row>
    <row r="750" spans="2:9">
      <c r="B750" s="164">
        <v>45856</v>
      </c>
      <c r="C750" t="s">
        <v>140</v>
      </c>
      <c r="D750">
        <v>2</v>
      </c>
      <c r="E750">
        <v>1690000</v>
      </c>
      <c r="F750">
        <v>61862062</v>
      </c>
      <c r="G750">
        <v>1000</v>
      </c>
      <c r="H750" t="str">
        <f>IF(C750=C749,"",COUNTIF(G750,1000)+COUNTIF(G750,2000))</f>
        <v/>
      </c>
      <c r="I750" t="str">
        <f>IF(H750=0,"",IF(C750=C749,"",SUM($H$3:H750)))</f>
        <v/>
      </c>
    </row>
    <row r="751" spans="2:9">
      <c r="B751" s="164">
        <v>45856</v>
      </c>
      <c r="C751" t="s">
        <v>140</v>
      </c>
      <c r="D751">
        <v>2</v>
      </c>
      <c r="E751">
        <v>1690000</v>
      </c>
      <c r="F751">
        <v>61862062</v>
      </c>
      <c r="G751">
        <v>1000</v>
      </c>
      <c r="H751" t="str">
        <f>IF(C751=C750,"",COUNTIF(G751,1000)+COUNTIF(G751,2000))</f>
        <v/>
      </c>
      <c r="I751" t="str">
        <f>IF(H751=0,"",IF(C751=C750,"",SUM($H$3:H751)))</f>
        <v/>
      </c>
    </row>
    <row r="752" spans="2:9">
      <c r="B752" s="164">
        <v>45856</v>
      </c>
      <c r="C752" t="s">
        <v>140</v>
      </c>
      <c r="D752">
        <v>2</v>
      </c>
      <c r="E752">
        <v>1690000</v>
      </c>
      <c r="F752">
        <v>61862062</v>
      </c>
      <c r="G752">
        <v>1000</v>
      </c>
      <c r="H752" t="str">
        <f>IF(C752=C751,"",COUNTIF(G752,1000)+COUNTIF(G752,2000))</f>
        <v/>
      </c>
      <c r="I752" t="str">
        <f>IF(H752=0,"",IF(C752=C751,"",SUM($H$3:H752)))</f>
        <v/>
      </c>
    </row>
    <row r="753" spans="2:9">
      <c r="B753" s="164">
        <v>45856</v>
      </c>
      <c r="C753" t="s">
        <v>140</v>
      </c>
      <c r="D753">
        <v>2</v>
      </c>
      <c r="E753">
        <v>1690000</v>
      </c>
      <c r="F753">
        <v>61862062</v>
      </c>
      <c r="G753">
        <v>1000</v>
      </c>
      <c r="H753" t="str">
        <f>IF(C753=C752,"",COUNTIF(G753,1000)+COUNTIF(G753,2000))</f>
        <v/>
      </c>
      <c r="I753" t="str">
        <f>IF(H753=0,"",IF(C753=C752,"",SUM($H$3:H753)))</f>
        <v/>
      </c>
    </row>
    <row r="754" spans="2:9">
      <c r="B754" s="164">
        <v>45856</v>
      </c>
      <c r="C754" t="s">
        <v>140</v>
      </c>
      <c r="D754">
        <v>2</v>
      </c>
      <c r="E754">
        <v>1690000</v>
      </c>
      <c r="F754">
        <v>61862062</v>
      </c>
      <c r="G754">
        <v>1000</v>
      </c>
      <c r="H754" t="str">
        <f>IF(C754=C753,"",COUNTIF(G754,1000)+COUNTIF(G754,2000))</f>
        <v/>
      </c>
      <c r="I754" t="str">
        <f>IF(H754=0,"",IF(C754=C753,"",SUM($H$3:H754)))</f>
        <v/>
      </c>
    </row>
    <row r="755" spans="2:9">
      <c r="B755" s="164">
        <v>45856</v>
      </c>
      <c r="C755" t="s">
        <v>140</v>
      </c>
      <c r="D755">
        <v>2</v>
      </c>
      <c r="E755">
        <v>1690000</v>
      </c>
      <c r="F755">
        <v>61862062</v>
      </c>
      <c r="G755">
        <v>1000</v>
      </c>
      <c r="H755" t="str">
        <f>IF(C755=C754,"",COUNTIF(G755,1000)+COUNTIF(G755,2000))</f>
        <v/>
      </c>
      <c r="I755" t="str">
        <f>IF(H755=0,"",IF(C755=C754,"",SUM($H$3:H755)))</f>
        <v/>
      </c>
    </row>
    <row r="756" spans="2:9">
      <c r="B756" s="164">
        <v>45856</v>
      </c>
      <c r="C756" t="s">
        <v>140</v>
      </c>
      <c r="D756">
        <v>2</v>
      </c>
      <c r="E756">
        <v>1690000</v>
      </c>
      <c r="F756">
        <v>61862062</v>
      </c>
      <c r="G756">
        <v>1000</v>
      </c>
      <c r="H756" t="str">
        <f>IF(C756=C755,"",COUNTIF(G756,1000)+COUNTIF(G756,2000))</f>
        <v/>
      </c>
      <c r="I756" t="str">
        <f>IF(H756=0,"",IF(C756=C755,"",SUM($H$3:H756)))</f>
        <v/>
      </c>
    </row>
    <row r="757" spans="2:9">
      <c r="B757" s="164">
        <v>45856</v>
      </c>
      <c r="C757" t="s">
        <v>140</v>
      </c>
      <c r="D757">
        <v>2</v>
      </c>
      <c r="E757">
        <v>1690000</v>
      </c>
      <c r="F757">
        <v>61862062</v>
      </c>
      <c r="G757">
        <v>1000</v>
      </c>
      <c r="H757" t="str">
        <f>IF(C757=C756,"",COUNTIF(G757,1000)+COUNTIF(G757,2000))</f>
        <v/>
      </c>
      <c r="I757" t="str">
        <f>IF(H757=0,"",IF(C757=C756,"",SUM($H$3:H757)))</f>
        <v/>
      </c>
    </row>
    <row r="758" spans="2:9">
      <c r="B758" s="164">
        <v>45856</v>
      </c>
      <c r="C758" t="s">
        <v>140</v>
      </c>
      <c r="D758">
        <v>2</v>
      </c>
      <c r="E758">
        <v>1690000</v>
      </c>
      <c r="F758">
        <v>61862062</v>
      </c>
      <c r="G758">
        <v>1000</v>
      </c>
      <c r="H758" t="str">
        <f>IF(C758=C757,"",COUNTIF(G758,1000)+COUNTIF(G758,2000))</f>
        <v/>
      </c>
      <c r="I758" t="str">
        <f>IF(H758=0,"",IF(C758=C757,"",SUM($H$3:H758)))</f>
        <v/>
      </c>
    </row>
    <row r="759" spans="2:9">
      <c r="B759" s="164">
        <v>45856</v>
      </c>
      <c r="C759" t="s">
        <v>140</v>
      </c>
      <c r="D759">
        <v>2</v>
      </c>
      <c r="E759">
        <v>1690000</v>
      </c>
      <c r="F759">
        <v>61862062</v>
      </c>
      <c r="G759">
        <v>1000</v>
      </c>
      <c r="H759" t="str">
        <f>IF(C759=C758,"",COUNTIF(G759,1000)+COUNTIF(G759,2000))</f>
        <v/>
      </c>
      <c r="I759" t="str">
        <f>IF(H759=0,"",IF(C759=C758,"",SUM($H$3:H759)))</f>
        <v/>
      </c>
    </row>
    <row r="760" spans="2:9">
      <c r="B760" s="164">
        <v>45856</v>
      </c>
      <c r="C760" t="s">
        <v>140</v>
      </c>
      <c r="D760">
        <v>2</v>
      </c>
      <c r="E760">
        <v>1690000</v>
      </c>
      <c r="F760">
        <v>61862062</v>
      </c>
      <c r="G760">
        <v>1000</v>
      </c>
      <c r="H760" t="str">
        <f>IF(C760=C759,"",COUNTIF(G760,1000)+COUNTIF(G760,2000))</f>
        <v/>
      </c>
      <c r="I760" t="str">
        <f>IF(H760=0,"",IF(C760=C759,"",SUM($H$3:H760)))</f>
        <v/>
      </c>
    </row>
    <row r="761" spans="2:9">
      <c r="B761" s="164">
        <v>45856</v>
      </c>
      <c r="C761" t="s">
        <v>140</v>
      </c>
      <c r="D761">
        <v>2</v>
      </c>
      <c r="E761">
        <v>1690000</v>
      </c>
      <c r="F761">
        <v>61862062</v>
      </c>
      <c r="G761">
        <v>1000</v>
      </c>
      <c r="H761" t="str">
        <f>IF(C761=C760,"",COUNTIF(G761,1000)+COUNTIF(G761,2000))</f>
        <v/>
      </c>
      <c r="I761" t="str">
        <f>IF(H761=0,"",IF(C761=C760,"",SUM($H$3:H761)))</f>
        <v/>
      </c>
    </row>
    <row r="762" spans="2:9">
      <c r="B762" s="164">
        <v>45856</v>
      </c>
      <c r="C762" t="s">
        <v>140</v>
      </c>
      <c r="D762">
        <v>2</v>
      </c>
      <c r="E762">
        <v>1690000</v>
      </c>
      <c r="F762">
        <v>61862062</v>
      </c>
      <c r="G762">
        <v>1000</v>
      </c>
      <c r="H762" t="str">
        <f>IF(C762=C761,"",COUNTIF(G762,1000)+COUNTIF(G762,2000))</f>
        <v/>
      </c>
      <c r="I762" t="str">
        <f>IF(H762=0,"",IF(C762=C761,"",SUM($H$3:H762)))</f>
        <v/>
      </c>
    </row>
    <row r="763" spans="2:9">
      <c r="B763" s="164">
        <v>45856</v>
      </c>
      <c r="C763" t="s">
        <v>140</v>
      </c>
      <c r="D763">
        <v>2</v>
      </c>
      <c r="E763">
        <v>1690000</v>
      </c>
      <c r="F763">
        <v>61862062</v>
      </c>
      <c r="G763">
        <v>1000</v>
      </c>
      <c r="H763" t="str">
        <f>IF(C763=C762,"",COUNTIF(G763,1000)+COUNTIF(G763,2000))</f>
        <v/>
      </c>
      <c r="I763" t="str">
        <f>IF(H763=0,"",IF(C763=C762,"",SUM($H$3:H763)))</f>
        <v/>
      </c>
    </row>
    <row r="764" spans="2:9">
      <c r="B764" s="164">
        <v>45856</v>
      </c>
      <c r="C764" t="s">
        <v>140</v>
      </c>
      <c r="D764">
        <v>2</v>
      </c>
      <c r="E764">
        <v>1690000</v>
      </c>
      <c r="F764">
        <v>61862062</v>
      </c>
      <c r="G764">
        <v>1000</v>
      </c>
      <c r="H764" t="str">
        <f>IF(C764=C763,"",COUNTIF(G764,1000)+COUNTIF(G764,2000))</f>
        <v/>
      </c>
      <c r="I764" t="str">
        <f>IF(H764=0,"",IF(C764=C763,"",SUM($H$3:H764)))</f>
        <v/>
      </c>
    </row>
    <row r="765" spans="2:9">
      <c r="B765" s="164">
        <v>45856</v>
      </c>
      <c r="C765" t="s">
        <v>140</v>
      </c>
      <c r="D765">
        <v>2</v>
      </c>
      <c r="E765">
        <v>1690000</v>
      </c>
      <c r="F765">
        <v>61862062</v>
      </c>
      <c r="G765">
        <v>1000</v>
      </c>
      <c r="H765" t="str">
        <f>IF(C765=C764,"",COUNTIF(G765,1000)+COUNTIF(G765,2000))</f>
        <v/>
      </c>
      <c r="I765" t="str">
        <f>IF(H765=0,"",IF(C765=C764,"",SUM($H$3:H765)))</f>
        <v/>
      </c>
    </row>
    <row r="766" spans="2:9">
      <c r="B766" s="164">
        <v>45856</v>
      </c>
      <c r="C766" t="s">
        <v>140</v>
      </c>
      <c r="D766">
        <v>2</v>
      </c>
      <c r="E766">
        <v>1690000</v>
      </c>
      <c r="F766">
        <v>61862062</v>
      </c>
      <c r="G766">
        <v>1000</v>
      </c>
      <c r="H766" t="str">
        <f>IF(C766=C765,"",COUNTIF(G766,1000)+COUNTIF(G766,2000))</f>
        <v/>
      </c>
      <c r="I766" t="str">
        <f>IF(H766=0,"",IF(C766=C765,"",SUM($H$3:H766)))</f>
        <v/>
      </c>
    </row>
    <row r="767" spans="2:9">
      <c r="B767" s="164">
        <v>45856</v>
      </c>
      <c r="C767" t="s">
        <v>140</v>
      </c>
      <c r="D767">
        <v>2</v>
      </c>
      <c r="E767">
        <v>1690000</v>
      </c>
      <c r="F767">
        <v>61862062</v>
      </c>
      <c r="G767">
        <v>1000</v>
      </c>
      <c r="H767" t="str">
        <f>IF(C767=C766,"",COUNTIF(G767,1000)+COUNTIF(G767,2000))</f>
        <v/>
      </c>
      <c r="I767" t="str">
        <f>IF(H767=0,"",IF(C767=C766,"",SUM($H$3:H767)))</f>
        <v/>
      </c>
    </row>
    <row r="768" spans="2:9">
      <c r="B768" s="164">
        <v>45856</v>
      </c>
      <c r="C768" t="s">
        <v>140</v>
      </c>
      <c r="D768">
        <v>2</v>
      </c>
      <c r="E768">
        <v>1690000</v>
      </c>
      <c r="F768">
        <v>61862062</v>
      </c>
      <c r="G768">
        <v>1000</v>
      </c>
      <c r="H768" t="str">
        <f>IF(C768=C767,"",COUNTIF(G768,1000)+COUNTIF(G768,2000))</f>
        <v/>
      </c>
      <c r="I768" t="str">
        <f>IF(H768=0,"",IF(C768=C767,"",SUM($H$3:H768)))</f>
        <v/>
      </c>
    </row>
    <row r="769" spans="2:9">
      <c r="B769" s="164">
        <v>45856</v>
      </c>
      <c r="C769" t="s">
        <v>140</v>
      </c>
      <c r="D769">
        <v>2</v>
      </c>
      <c r="E769">
        <v>1690000</v>
      </c>
      <c r="F769">
        <v>61862062</v>
      </c>
      <c r="G769">
        <v>1000</v>
      </c>
      <c r="H769" t="str">
        <f>IF(C769=C768,"",COUNTIF(G769,1000)+COUNTIF(G769,2000))</f>
        <v/>
      </c>
      <c r="I769" t="str">
        <f>IF(H769=0,"",IF(C769=C768,"",SUM($H$3:H769)))</f>
        <v/>
      </c>
    </row>
    <row r="770" spans="2:9">
      <c r="B770" s="164">
        <v>45856</v>
      </c>
      <c r="C770" t="s">
        <v>140</v>
      </c>
      <c r="D770">
        <v>2</v>
      </c>
      <c r="E770">
        <v>1690000</v>
      </c>
      <c r="F770">
        <v>61862062</v>
      </c>
      <c r="G770">
        <v>1000</v>
      </c>
      <c r="H770" t="str">
        <f>IF(C770=C769,"",COUNTIF(G770,1000)+COUNTIF(G770,2000))</f>
        <v/>
      </c>
      <c r="I770" t="str">
        <f>IF(H770=0,"",IF(C770=C769,"",SUM($H$3:H770)))</f>
        <v/>
      </c>
    </row>
    <row r="771" spans="2:9">
      <c r="B771" s="164">
        <v>45856</v>
      </c>
      <c r="C771" t="s">
        <v>140</v>
      </c>
      <c r="D771">
        <v>2</v>
      </c>
      <c r="E771">
        <v>1690000</v>
      </c>
      <c r="F771">
        <v>61862062</v>
      </c>
      <c r="G771">
        <v>1000</v>
      </c>
      <c r="H771" t="str">
        <f>IF(C771=C770,"",COUNTIF(G771,1000)+COUNTIF(G771,2000))</f>
        <v/>
      </c>
      <c r="I771" t="str">
        <f>IF(H771=0,"",IF(C771=C770,"",SUM($H$3:H771)))</f>
        <v/>
      </c>
    </row>
    <row r="772" spans="2:9">
      <c r="B772" s="164">
        <v>45856</v>
      </c>
      <c r="C772" t="s">
        <v>140</v>
      </c>
      <c r="D772">
        <v>2</v>
      </c>
      <c r="E772">
        <v>1690000</v>
      </c>
      <c r="F772">
        <v>61862062</v>
      </c>
      <c r="G772">
        <v>1000</v>
      </c>
      <c r="H772" t="str">
        <f>IF(C772=C771,"",COUNTIF(G772,1000)+COUNTIF(G772,2000))</f>
        <v/>
      </c>
      <c r="I772" t="str">
        <f>IF(H772=0,"",IF(C772=C771,"",SUM($H$3:H772)))</f>
        <v/>
      </c>
    </row>
    <row r="773" spans="2:9">
      <c r="B773" s="164">
        <v>45856</v>
      </c>
      <c r="C773" t="s">
        <v>140</v>
      </c>
      <c r="D773">
        <v>2</v>
      </c>
      <c r="E773">
        <v>1690000</v>
      </c>
      <c r="F773">
        <v>61862062</v>
      </c>
      <c r="G773">
        <v>1000</v>
      </c>
      <c r="H773" t="str">
        <f>IF(C773=C772,"",COUNTIF(G773,1000)+COUNTIF(G773,2000))</f>
        <v/>
      </c>
      <c r="I773" t="str">
        <f>IF(H773=0,"",IF(C773=C772,"",SUM($H$3:H773)))</f>
        <v/>
      </c>
    </row>
    <row r="774" spans="2:9">
      <c r="B774" s="164">
        <v>45856</v>
      </c>
      <c r="C774" t="s">
        <v>140</v>
      </c>
      <c r="D774">
        <v>2</v>
      </c>
      <c r="E774">
        <v>1690000</v>
      </c>
      <c r="F774">
        <v>61862062</v>
      </c>
      <c r="G774">
        <v>1000</v>
      </c>
      <c r="H774" t="str">
        <f>IF(C774=C773,"",COUNTIF(G774,1000)+COUNTIF(G774,2000))</f>
        <v/>
      </c>
      <c r="I774" t="str">
        <f>IF(H774=0,"",IF(C774=C773,"",SUM($H$3:H774)))</f>
        <v/>
      </c>
    </row>
    <row r="775" spans="2:9">
      <c r="B775" s="164">
        <v>45856</v>
      </c>
      <c r="C775" t="s">
        <v>140</v>
      </c>
      <c r="D775">
        <v>2</v>
      </c>
      <c r="E775">
        <v>1690000</v>
      </c>
      <c r="F775">
        <v>61862062</v>
      </c>
      <c r="G775">
        <v>1000</v>
      </c>
      <c r="H775" t="str">
        <f>IF(C775=C774,"",COUNTIF(G775,1000)+COUNTIF(G775,2000))</f>
        <v/>
      </c>
      <c r="I775" t="str">
        <f>IF(H775=0,"",IF(C775=C774,"",SUM($H$3:H775)))</f>
        <v/>
      </c>
    </row>
    <row r="776" spans="2:9">
      <c r="B776" s="164">
        <v>45856</v>
      </c>
      <c r="C776" t="s">
        <v>140</v>
      </c>
      <c r="D776">
        <v>2</v>
      </c>
      <c r="E776">
        <v>1690000</v>
      </c>
      <c r="F776">
        <v>61862062</v>
      </c>
      <c r="G776">
        <v>1000</v>
      </c>
      <c r="H776" t="str">
        <f>IF(C776=C775,"",COUNTIF(G776,1000)+COUNTIF(G776,2000))</f>
        <v/>
      </c>
      <c r="I776" t="str">
        <f>IF(H776=0,"",IF(C776=C775,"",SUM($H$3:H776)))</f>
        <v/>
      </c>
    </row>
    <row r="777" spans="2:9">
      <c r="B777" s="164">
        <v>45856</v>
      </c>
      <c r="C777" t="s">
        <v>140</v>
      </c>
      <c r="D777">
        <v>1</v>
      </c>
      <c r="E777">
        <v>1690000</v>
      </c>
      <c r="F777">
        <v>61862062</v>
      </c>
      <c r="G777">
        <v>1000</v>
      </c>
      <c r="H777" t="str">
        <f>IF(C777=C776,"",COUNTIF(G777,1000)+COUNTIF(G777,2000))</f>
        <v/>
      </c>
      <c r="I777" t="str">
        <f>IF(H777=0,"",IF(C777=C776,"",SUM($H$3:H777)))</f>
        <v/>
      </c>
    </row>
    <row r="778" spans="2:9">
      <c r="B778" s="164">
        <v>45856</v>
      </c>
      <c r="C778" t="s">
        <v>140</v>
      </c>
      <c r="D778">
        <v>1</v>
      </c>
      <c r="E778">
        <v>1690000</v>
      </c>
      <c r="F778">
        <v>61862062</v>
      </c>
      <c r="G778">
        <v>1000</v>
      </c>
      <c r="H778" t="str">
        <f>IF(C778=C777,"",COUNTIF(G778,1000)+COUNTIF(G778,2000))</f>
        <v/>
      </c>
      <c r="I778" t="str">
        <f>IF(H778=0,"",IF(C778=C777,"",SUM($H$3:H778)))</f>
        <v/>
      </c>
    </row>
    <row r="779" spans="2:9">
      <c r="B779" s="164">
        <v>45856</v>
      </c>
      <c r="C779" t="s">
        <v>140</v>
      </c>
      <c r="D779">
        <v>1</v>
      </c>
      <c r="E779">
        <v>1690000</v>
      </c>
      <c r="F779">
        <v>61862062</v>
      </c>
      <c r="G779">
        <v>1000</v>
      </c>
      <c r="H779" t="str">
        <f>IF(C779=C778,"",COUNTIF(G779,1000)+COUNTIF(G779,2000))</f>
        <v/>
      </c>
      <c r="I779" t="str">
        <f>IF(H779=0,"",IF(C779=C778,"",SUM($H$3:H779)))</f>
        <v/>
      </c>
    </row>
    <row r="780" spans="2:9">
      <c r="B780" s="164">
        <v>45856</v>
      </c>
      <c r="C780" t="s">
        <v>140</v>
      </c>
      <c r="D780">
        <v>1</v>
      </c>
      <c r="E780">
        <v>1690000</v>
      </c>
      <c r="F780">
        <v>61862062</v>
      </c>
      <c r="G780">
        <v>1000</v>
      </c>
      <c r="H780" t="str">
        <f>IF(C780=C779,"",COUNTIF(G780,1000)+COUNTIF(G780,2000))</f>
        <v/>
      </c>
      <c r="I780" t="str">
        <f>IF(H780=0,"",IF(C780=C779,"",SUM($H$3:H780)))</f>
        <v/>
      </c>
    </row>
    <row r="781" spans="2:9">
      <c r="B781" s="164">
        <v>45856</v>
      </c>
      <c r="C781" t="s">
        <v>140</v>
      </c>
      <c r="D781">
        <v>1</v>
      </c>
      <c r="E781">
        <v>1690000</v>
      </c>
      <c r="F781">
        <v>61862062</v>
      </c>
      <c r="G781">
        <v>1000</v>
      </c>
      <c r="H781" t="str">
        <f>IF(C781=C780,"",COUNTIF(G781,1000)+COUNTIF(G781,2000))</f>
        <v/>
      </c>
      <c r="I781" t="str">
        <f>IF(H781=0,"",IF(C781=C780,"",SUM($H$3:H781)))</f>
        <v/>
      </c>
    </row>
    <row r="782" spans="2:9">
      <c r="B782" s="164">
        <v>45856</v>
      </c>
      <c r="C782" t="s">
        <v>140</v>
      </c>
      <c r="D782">
        <v>1</v>
      </c>
      <c r="E782">
        <v>1690000</v>
      </c>
      <c r="F782">
        <v>61862062</v>
      </c>
      <c r="G782">
        <v>1000</v>
      </c>
      <c r="H782" t="str">
        <f>IF(C782=C781,"",COUNTIF(G782,1000)+COUNTIF(G782,2000))</f>
        <v/>
      </c>
      <c r="I782" t="str">
        <f>IF(H782=0,"",IF(C782=C781,"",SUM($H$3:H782)))</f>
        <v/>
      </c>
    </row>
    <row r="783" spans="2:9">
      <c r="B783" s="164">
        <v>45856</v>
      </c>
      <c r="C783" t="s">
        <v>140</v>
      </c>
      <c r="D783">
        <v>1</v>
      </c>
      <c r="E783">
        <v>1690000</v>
      </c>
      <c r="F783">
        <v>61862062</v>
      </c>
      <c r="G783">
        <v>1000</v>
      </c>
      <c r="H783" t="str">
        <f>IF(C783=C782,"",COUNTIF(G783,1000)+COUNTIF(G783,2000))</f>
        <v/>
      </c>
      <c r="I783" t="str">
        <f>IF(H783=0,"",IF(C783=C782,"",SUM($H$3:H783)))</f>
        <v/>
      </c>
    </row>
    <row r="784" spans="2:9">
      <c r="B784" s="164">
        <v>45856</v>
      </c>
      <c r="C784" t="s">
        <v>140</v>
      </c>
      <c r="D784">
        <v>1</v>
      </c>
      <c r="E784">
        <v>1690000</v>
      </c>
      <c r="F784">
        <v>61862062</v>
      </c>
      <c r="G784">
        <v>1000</v>
      </c>
      <c r="H784" t="str">
        <f>IF(C784=C783,"",COUNTIF(G784,1000)+COUNTIF(G784,2000))</f>
        <v/>
      </c>
      <c r="I784" t="str">
        <f>IF(H784=0,"",IF(C784=C783,"",SUM($H$3:H784)))</f>
        <v/>
      </c>
    </row>
    <row r="785" spans="2:9">
      <c r="B785" s="164">
        <v>45856</v>
      </c>
      <c r="C785" t="s">
        <v>140</v>
      </c>
      <c r="D785">
        <v>1</v>
      </c>
      <c r="E785">
        <v>1690000</v>
      </c>
      <c r="F785">
        <v>61862062</v>
      </c>
      <c r="G785">
        <v>1000</v>
      </c>
      <c r="H785" t="str">
        <f>IF(C785=C784,"",COUNTIF(G785,1000)+COUNTIF(G785,2000))</f>
        <v/>
      </c>
      <c r="I785" t="str">
        <f>IF(H785=0,"",IF(C785=C784,"",SUM($H$3:H785)))</f>
        <v/>
      </c>
    </row>
    <row r="786" spans="2:9">
      <c r="B786" s="164">
        <v>45856</v>
      </c>
      <c r="C786" t="s">
        <v>140</v>
      </c>
      <c r="D786">
        <v>1</v>
      </c>
      <c r="E786">
        <v>1690000</v>
      </c>
      <c r="F786">
        <v>61862062</v>
      </c>
      <c r="G786">
        <v>1000</v>
      </c>
      <c r="H786" t="str">
        <f>IF(C786=C785,"",COUNTIF(G786,1000)+COUNTIF(G786,2000))</f>
        <v/>
      </c>
      <c r="I786" t="str">
        <f>IF(H786=0,"",IF(C786=C785,"",SUM($H$3:H786)))</f>
        <v/>
      </c>
    </row>
    <row r="787" spans="2:9">
      <c r="B787" s="164">
        <v>45856</v>
      </c>
      <c r="C787" t="s">
        <v>140</v>
      </c>
      <c r="D787">
        <v>2</v>
      </c>
      <c r="E787">
        <v>1690000</v>
      </c>
      <c r="F787">
        <v>61862062</v>
      </c>
      <c r="G787">
        <v>1000</v>
      </c>
      <c r="H787" t="str">
        <f>IF(C787=C786,"",COUNTIF(G787,1000)+COUNTIF(G787,2000))</f>
        <v/>
      </c>
      <c r="I787" t="str">
        <f>IF(H787=0,"",IF(C787=C786,"",SUM($H$3:H787)))</f>
        <v/>
      </c>
    </row>
    <row r="788" spans="2:9">
      <c r="B788" s="164">
        <v>45856</v>
      </c>
      <c r="C788" t="s">
        <v>140</v>
      </c>
      <c r="D788">
        <v>2</v>
      </c>
      <c r="E788">
        <v>1690000</v>
      </c>
      <c r="F788">
        <v>61862062</v>
      </c>
      <c r="G788">
        <v>1000</v>
      </c>
      <c r="H788" t="str">
        <f>IF(C788=C787,"",COUNTIF(G788,1000)+COUNTIF(G788,2000))</f>
        <v/>
      </c>
      <c r="I788" t="str">
        <f>IF(H788=0,"",IF(C788=C787,"",SUM($H$3:H788)))</f>
        <v/>
      </c>
    </row>
    <row r="789" spans="2:9">
      <c r="B789" s="164">
        <v>45856</v>
      </c>
      <c r="C789" t="s">
        <v>140</v>
      </c>
      <c r="D789">
        <v>2</v>
      </c>
      <c r="E789">
        <v>1690000</v>
      </c>
      <c r="F789">
        <v>61862062</v>
      </c>
      <c r="G789">
        <v>1000</v>
      </c>
      <c r="H789" t="str">
        <f>IF(C789=C788,"",COUNTIF(G789,1000)+COUNTIF(G789,2000))</f>
        <v/>
      </c>
      <c r="I789" t="str">
        <f>IF(H789=0,"",IF(C789=C788,"",SUM($H$3:H789)))</f>
        <v/>
      </c>
    </row>
    <row r="790" spans="2:9">
      <c r="B790" s="164">
        <v>45856</v>
      </c>
      <c r="C790" t="s">
        <v>140</v>
      </c>
      <c r="D790">
        <v>2</v>
      </c>
      <c r="E790">
        <v>1690000</v>
      </c>
      <c r="F790">
        <v>61862062</v>
      </c>
      <c r="G790">
        <v>1000</v>
      </c>
      <c r="H790" t="str">
        <f>IF(C790=C789,"",COUNTIF(G790,1000)+COUNTIF(G790,2000))</f>
        <v/>
      </c>
      <c r="I790" t="str">
        <f>IF(H790=0,"",IF(C790=C789,"",SUM($H$3:H790)))</f>
        <v/>
      </c>
    </row>
    <row r="791" spans="2:9">
      <c r="B791" s="164">
        <v>45856</v>
      </c>
      <c r="C791" t="s">
        <v>140</v>
      </c>
      <c r="D791">
        <v>2</v>
      </c>
      <c r="E791">
        <v>1690000</v>
      </c>
      <c r="F791">
        <v>61862062</v>
      </c>
      <c r="G791">
        <v>1000</v>
      </c>
      <c r="H791" t="str">
        <f>IF(C791=C790,"",COUNTIF(G791,1000)+COUNTIF(G791,2000))</f>
        <v/>
      </c>
      <c r="I791" t="str">
        <f>IF(H791=0,"",IF(C791=C790,"",SUM($H$3:H791)))</f>
        <v/>
      </c>
    </row>
    <row r="792" spans="2:9">
      <c r="B792" s="164">
        <v>45856</v>
      </c>
      <c r="C792" t="s">
        <v>140</v>
      </c>
      <c r="D792">
        <v>2</v>
      </c>
      <c r="E792">
        <v>1690000</v>
      </c>
      <c r="F792">
        <v>61862062</v>
      </c>
      <c r="G792">
        <v>1000</v>
      </c>
      <c r="H792" t="str">
        <f>IF(C792=C791,"",COUNTIF(G792,1000)+COUNTIF(G792,2000))</f>
        <v/>
      </c>
      <c r="I792" t="str">
        <f>IF(H792=0,"",IF(C792=C791,"",SUM($H$3:H792)))</f>
        <v/>
      </c>
    </row>
    <row r="793" spans="2:9">
      <c r="B793" s="164">
        <v>45856</v>
      </c>
      <c r="C793" t="s">
        <v>140</v>
      </c>
      <c r="D793">
        <v>2</v>
      </c>
      <c r="E793">
        <v>1690000</v>
      </c>
      <c r="F793">
        <v>61862062</v>
      </c>
      <c r="G793">
        <v>1000</v>
      </c>
      <c r="H793" t="str">
        <f>IF(C793=C792,"",COUNTIF(G793,1000)+COUNTIF(G793,2000))</f>
        <v/>
      </c>
      <c r="I793" t="str">
        <f>IF(H793=0,"",IF(C793=C792,"",SUM($H$3:H793)))</f>
        <v/>
      </c>
    </row>
    <row r="794" spans="2:9">
      <c r="B794" s="164">
        <v>45856</v>
      </c>
      <c r="C794" t="s">
        <v>140</v>
      </c>
      <c r="D794">
        <v>1</v>
      </c>
      <c r="E794">
        <v>1690000</v>
      </c>
      <c r="F794">
        <v>61862062</v>
      </c>
      <c r="G794">
        <v>1000</v>
      </c>
      <c r="H794" t="str">
        <f>IF(C794=C793,"",COUNTIF(G794,1000)+COUNTIF(G794,2000))</f>
        <v/>
      </c>
      <c r="I794" t="str">
        <f>IF(H794=0,"",IF(C794=C793,"",SUM($H$3:H794)))</f>
        <v/>
      </c>
    </row>
    <row r="795" spans="2:9">
      <c r="B795" s="164">
        <v>45856</v>
      </c>
      <c r="C795" t="s">
        <v>140</v>
      </c>
      <c r="D795">
        <v>1</v>
      </c>
      <c r="E795">
        <v>1690000</v>
      </c>
      <c r="F795">
        <v>61862062</v>
      </c>
      <c r="G795">
        <v>1000</v>
      </c>
      <c r="H795" t="str">
        <f>IF(C795=C794,"",COUNTIF(G795,1000)+COUNTIF(G795,2000))</f>
        <v/>
      </c>
      <c r="I795" t="str">
        <f>IF(H795=0,"",IF(C795=C794,"",SUM($H$3:H795)))</f>
        <v/>
      </c>
    </row>
    <row r="796" spans="2:9">
      <c r="B796" s="164">
        <v>45856</v>
      </c>
      <c r="C796" t="s">
        <v>140</v>
      </c>
      <c r="D796">
        <v>1</v>
      </c>
      <c r="E796">
        <v>1690000</v>
      </c>
      <c r="F796">
        <v>61862062</v>
      </c>
      <c r="G796">
        <v>1000</v>
      </c>
      <c r="H796" t="str">
        <f>IF(C796=C795,"",COUNTIF(G796,1000)+COUNTIF(G796,2000))</f>
        <v/>
      </c>
      <c r="I796" t="str">
        <f>IF(H796=0,"",IF(C796=C795,"",SUM($H$3:H796)))</f>
        <v/>
      </c>
    </row>
    <row r="797" spans="2:9">
      <c r="B797" s="164">
        <v>45856</v>
      </c>
      <c r="C797" t="s">
        <v>140</v>
      </c>
      <c r="D797">
        <v>1</v>
      </c>
      <c r="E797">
        <v>1690000</v>
      </c>
      <c r="F797">
        <v>61862062</v>
      </c>
      <c r="G797">
        <v>1000</v>
      </c>
      <c r="H797" t="str">
        <f>IF(C797=C796,"",COUNTIF(G797,1000)+COUNTIF(G797,2000))</f>
        <v/>
      </c>
      <c r="I797" t="str">
        <f>IF(H797=0,"",IF(C797=C796,"",SUM($H$3:H797)))</f>
        <v/>
      </c>
    </row>
    <row r="798" spans="2:9">
      <c r="B798" s="164">
        <v>45856</v>
      </c>
      <c r="C798" t="s">
        <v>140</v>
      </c>
      <c r="D798">
        <v>1</v>
      </c>
      <c r="E798">
        <v>1690000</v>
      </c>
      <c r="F798">
        <v>61862062</v>
      </c>
      <c r="G798">
        <v>1000</v>
      </c>
      <c r="H798" t="str">
        <f>IF(C798=C797,"",COUNTIF(G798,1000)+COUNTIF(G798,2000))</f>
        <v/>
      </c>
      <c r="I798" t="str">
        <f>IF(H798=0,"",IF(C798=C797,"",SUM($H$3:H798)))</f>
        <v/>
      </c>
    </row>
    <row r="799" spans="2:9">
      <c r="B799" s="164">
        <v>45874</v>
      </c>
      <c r="C799" t="s">
        <v>130</v>
      </c>
      <c r="D799">
        <v>2</v>
      </c>
      <c r="E799">
        <v>315000</v>
      </c>
      <c r="F799">
        <v>12696660</v>
      </c>
      <c r="G799">
        <v>2000</v>
      </c>
      <c r="H799">
        <f>IF(C799=C798,"",COUNTIF(G799,1000)+COUNTIF(G799,2000))</f>
        <v>1</v>
      </c>
      <c r="I799">
        <f>IF(H799=0,"",IF(C799=C798,"",SUM($H$3:H799)))</f>
        <v>15</v>
      </c>
    </row>
    <row r="800" spans="2:9">
      <c r="B800" s="164">
        <v>45874</v>
      </c>
      <c r="C800" t="s">
        <v>130</v>
      </c>
      <c r="D800">
        <v>2</v>
      </c>
      <c r="E800">
        <v>315000</v>
      </c>
      <c r="F800">
        <v>12696660</v>
      </c>
      <c r="G800">
        <v>2000</v>
      </c>
      <c r="H800" t="str">
        <f>IF(C800=C799,"",COUNTIF(G800,1000)+COUNTIF(G800,2000))</f>
        <v/>
      </c>
      <c r="I800" t="str">
        <f>IF(H800=0,"",IF(C800=C799,"",SUM($H$3:H800)))</f>
        <v/>
      </c>
    </row>
    <row r="801" spans="2:9">
      <c r="B801" s="164">
        <v>45874</v>
      </c>
      <c r="C801" t="s">
        <v>130</v>
      </c>
      <c r="D801">
        <v>2</v>
      </c>
      <c r="E801">
        <v>315000</v>
      </c>
      <c r="F801">
        <v>12696660</v>
      </c>
      <c r="G801">
        <v>2000</v>
      </c>
      <c r="H801" t="str">
        <f>IF(C801=C800,"",COUNTIF(G801,1000)+COUNTIF(G801,2000))</f>
        <v/>
      </c>
      <c r="I801" t="str">
        <f>IF(H801=0,"",IF(C801=C800,"",SUM($H$3:H801)))</f>
        <v/>
      </c>
    </row>
    <row r="802" spans="2:9">
      <c r="B802" s="164">
        <v>45874</v>
      </c>
      <c r="C802" t="s">
        <v>130</v>
      </c>
      <c r="D802">
        <v>2</v>
      </c>
      <c r="E802">
        <v>315000</v>
      </c>
      <c r="F802">
        <v>12696660</v>
      </c>
      <c r="G802">
        <v>2000</v>
      </c>
      <c r="H802" t="str">
        <f>IF(C802=C801,"",COUNTIF(G802,1000)+COUNTIF(G802,2000))</f>
        <v/>
      </c>
      <c r="I802" t="str">
        <f>IF(H802=0,"",IF(C802=C801,"",SUM($H$3:H802)))</f>
        <v/>
      </c>
    </row>
    <row r="803" spans="2:9">
      <c r="B803" s="164">
        <v>45874</v>
      </c>
      <c r="C803" t="s">
        <v>130</v>
      </c>
      <c r="D803">
        <v>2</v>
      </c>
      <c r="E803">
        <v>315000</v>
      </c>
      <c r="F803">
        <v>12696660</v>
      </c>
      <c r="G803">
        <v>2000</v>
      </c>
      <c r="H803" t="str">
        <f>IF(C803=C802,"",COUNTIF(G803,1000)+COUNTIF(G803,2000))</f>
        <v/>
      </c>
      <c r="I803" t="str">
        <f>IF(H803=0,"",IF(C803=C802,"",SUM($H$3:H803)))</f>
        <v/>
      </c>
    </row>
    <row r="804" spans="2:9">
      <c r="B804" s="164">
        <v>45874</v>
      </c>
      <c r="C804" t="s">
        <v>130</v>
      </c>
      <c r="D804">
        <v>2</v>
      </c>
      <c r="E804">
        <v>315000</v>
      </c>
      <c r="F804">
        <v>12696660</v>
      </c>
      <c r="G804">
        <v>2000</v>
      </c>
      <c r="H804" t="str">
        <f>IF(C804=C803,"",COUNTIF(G804,1000)+COUNTIF(G804,2000))</f>
        <v/>
      </c>
      <c r="I804" t="str">
        <f>IF(H804=0,"",IF(C804=C803,"",SUM($H$3:H804)))</f>
        <v/>
      </c>
    </row>
    <row r="805" spans="2:9">
      <c r="B805" s="164">
        <v>45874</v>
      </c>
      <c r="C805" t="s">
        <v>130</v>
      </c>
      <c r="D805">
        <v>2</v>
      </c>
      <c r="E805">
        <v>315000</v>
      </c>
      <c r="F805">
        <v>12696660</v>
      </c>
      <c r="G805">
        <v>2000</v>
      </c>
      <c r="H805" t="str">
        <f>IF(C805=C804,"",COUNTIF(G805,1000)+COUNTIF(G805,2000))</f>
        <v/>
      </c>
      <c r="I805" t="str">
        <f>IF(H805=0,"",IF(C805=C804,"",SUM($H$3:H805)))</f>
        <v/>
      </c>
    </row>
    <row r="806" spans="2:9">
      <c r="B806" s="164">
        <v>45874</v>
      </c>
      <c r="C806" t="s">
        <v>130</v>
      </c>
      <c r="D806">
        <v>2</v>
      </c>
      <c r="E806">
        <v>315000</v>
      </c>
      <c r="F806">
        <v>12696660</v>
      </c>
      <c r="G806">
        <v>2000</v>
      </c>
      <c r="H806" t="str">
        <f>IF(C806=C805,"",COUNTIF(G806,1000)+COUNTIF(G806,2000))</f>
        <v/>
      </c>
      <c r="I806" t="str">
        <f>IF(H806=0,"",IF(C806=C805,"",SUM($H$3:H806)))</f>
        <v/>
      </c>
    </row>
    <row r="807" spans="2:9">
      <c r="B807" s="164">
        <v>45874</v>
      </c>
      <c r="C807" t="s">
        <v>130</v>
      </c>
      <c r="D807">
        <v>2</v>
      </c>
      <c r="E807">
        <v>315000</v>
      </c>
      <c r="F807">
        <v>12696660</v>
      </c>
      <c r="G807">
        <v>2000</v>
      </c>
      <c r="H807" t="str">
        <f>IF(C807=C806,"",COUNTIF(G807,1000)+COUNTIF(G807,2000))</f>
        <v/>
      </c>
      <c r="I807" t="str">
        <f>IF(H807=0,"",IF(C807=C806,"",SUM($H$3:H807)))</f>
        <v/>
      </c>
    </row>
    <row r="808" spans="2:9">
      <c r="B808" s="164">
        <v>45874</v>
      </c>
      <c r="C808" t="s">
        <v>130</v>
      </c>
      <c r="D808">
        <v>2</v>
      </c>
      <c r="E808">
        <v>315000</v>
      </c>
      <c r="F808">
        <v>12696660</v>
      </c>
      <c r="G808">
        <v>2000</v>
      </c>
      <c r="H808" t="str">
        <f>IF(C808=C807,"",COUNTIF(G808,1000)+COUNTIF(G808,2000))</f>
        <v/>
      </c>
      <c r="I808" t="str">
        <f>IF(H808=0,"",IF(C808=C807,"",SUM($H$3:H808)))</f>
        <v/>
      </c>
    </row>
    <row r="809" spans="2:9">
      <c r="B809" s="164">
        <v>45875</v>
      </c>
      <c r="C809" t="s">
        <v>129</v>
      </c>
      <c r="D809">
        <v>3</v>
      </c>
      <c r="E809">
        <v>675450</v>
      </c>
      <c r="F809">
        <v>26603144</v>
      </c>
      <c r="G809">
        <v>2000</v>
      </c>
      <c r="H809">
        <f>IF(C809=C808,"",COUNTIF(G809,1000)+COUNTIF(G809,2000))</f>
        <v>1</v>
      </c>
      <c r="I809">
        <f>IF(H809=0,"",IF(C809=C808,"",SUM($H$3:H809)))</f>
        <v>16</v>
      </c>
    </row>
    <row r="810" spans="2:9">
      <c r="B810" s="164">
        <v>45875</v>
      </c>
      <c r="C810" t="s">
        <v>129</v>
      </c>
      <c r="D810">
        <v>3</v>
      </c>
      <c r="E810">
        <v>675450</v>
      </c>
      <c r="F810">
        <v>26603144</v>
      </c>
      <c r="G810">
        <v>2000</v>
      </c>
      <c r="H810" t="str">
        <f>IF(C810=C809,"",COUNTIF(G810,1000)+COUNTIF(G810,2000))</f>
        <v/>
      </c>
      <c r="I810" t="str">
        <f>IF(H810=0,"",IF(C810=C809,"",SUM($H$3:H810)))</f>
        <v/>
      </c>
    </row>
    <row r="811" spans="2:9">
      <c r="B811" s="164">
        <v>45875</v>
      </c>
      <c r="C811" t="s">
        <v>129</v>
      </c>
      <c r="D811">
        <v>3</v>
      </c>
      <c r="E811">
        <v>675450</v>
      </c>
      <c r="F811">
        <v>26603144</v>
      </c>
      <c r="G811">
        <v>2000</v>
      </c>
      <c r="H811" t="str">
        <f>IF(C811=C810,"",COUNTIF(G811,1000)+COUNTIF(G811,2000))</f>
        <v/>
      </c>
      <c r="I811" t="str">
        <f>IF(H811=0,"",IF(C811=C810,"",SUM($H$3:H811)))</f>
        <v/>
      </c>
    </row>
    <row r="812" spans="2:9">
      <c r="B812" s="164">
        <v>45875</v>
      </c>
      <c r="C812" t="s">
        <v>129</v>
      </c>
      <c r="D812">
        <v>3</v>
      </c>
      <c r="E812">
        <v>675450</v>
      </c>
      <c r="F812">
        <v>26603144</v>
      </c>
      <c r="G812">
        <v>2000</v>
      </c>
      <c r="H812" t="str">
        <f>IF(C812=C811,"",COUNTIF(G812,1000)+COUNTIF(G812,2000))</f>
        <v/>
      </c>
      <c r="I812" t="str">
        <f>IF(H812=0,"",IF(C812=C811,"",SUM($H$3:H812)))</f>
        <v/>
      </c>
    </row>
    <row r="813" spans="2:9">
      <c r="B813" s="164">
        <v>45875</v>
      </c>
      <c r="C813" t="s">
        <v>129</v>
      </c>
      <c r="D813">
        <v>3</v>
      </c>
      <c r="E813">
        <v>675450</v>
      </c>
      <c r="F813">
        <v>26603144</v>
      </c>
      <c r="G813">
        <v>2000</v>
      </c>
      <c r="H813" t="str">
        <f>IF(C813=C812,"",COUNTIF(G813,1000)+COUNTIF(G813,2000))</f>
        <v/>
      </c>
      <c r="I813" t="str">
        <f>IF(H813=0,"",IF(C813=C812,"",SUM($H$3:H813)))</f>
        <v/>
      </c>
    </row>
    <row r="814" spans="2:9">
      <c r="B814" s="164">
        <v>45875</v>
      </c>
      <c r="C814" t="s">
        <v>129</v>
      </c>
      <c r="D814">
        <v>3</v>
      </c>
      <c r="E814">
        <v>675450</v>
      </c>
      <c r="F814">
        <v>26603144</v>
      </c>
      <c r="G814">
        <v>2000</v>
      </c>
      <c r="H814" t="str">
        <f>IF(C814=C813,"",COUNTIF(G814,1000)+COUNTIF(G814,2000))</f>
        <v/>
      </c>
      <c r="I814" t="str">
        <f>IF(H814=0,"",IF(C814=C813,"",SUM($H$3:H814)))</f>
        <v/>
      </c>
    </row>
    <row r="815" spans="2:9">
      <c r="B815" s="164">
        <v>45875</v>
      </c>
      <c r="C815" t="s">
        <v>129</v>
      </c>
      <c r="D815">
        <v>3</v>
      </c>
      <c r="E815">
        <v>675450</v>
      </c>
      <c r="F815">
        <v>26603144</v>
      </c>
      <c r="G815">
        <v>2000</v>
      </c>
      <c r="H815" t="str">
        <f>IF(C815=C814,"",COUNTIF(G815,1000)+COUNTIF(G815,2000))</f>
        <v/>
      </c>
      <c r="I815" t="str">
        <f>IF(H815=0,"",IF(C815=C814,"",SUM($H$3:H815)))</f>
        <v/>
      </c>
    </row>
    <row r="816" spans="2:9">
      <c r="B816" s="164">
        <v>45875</v>
      </c>
      <c r="C816" t="s">
        <v>129</v>
      </c>
      <c r="D816">
        <v>3</v>
      </c>
      <c r="E816">
        <v>675450</v>
      </c>
      <c r="F816">
        <v>26603144</v>
      </c>
      <c r="G816">
        <v>2000</v>
      </c>
      <c r="H816" t="str">
        <f>IF(C816=C815,"",COUNTIF(G816,1000)+COUNTIF(G816,2000))</f>
        <v/>
      </c>
      <c r="I816" t="str">
        <f>IF(H816=0,"",IF(C816=C815,"",SUM($H$3:H816)))</f>
        <v/>
      </c>
    </row>
    <row r="817" spans="2:9">
      <c r="B817" s="164">
        <v>45875</v>
      </c>
      <c r="C817" t="s">
        <v>129</v>
      </c>
      <c r="D817">
        <v>3</v>
      </c>
      <c r="E817">
        <v>675450</v>
      </c>
      <c r="F817">
        <v>26603144</v>
      </c>
      <c r="G817">
        <v>2000</v>
      </c>
      <c r="H817" t="str">
        <f>IF(C817=C816,"",COUNTIF(G817,1000)+COUNTIF(G817,2000))</f>
        <v/>
      </c>
      <c r="I817" t="str">
        <f>IF(H817=0,"",IF(C817=C816,"",SUM($H$3:H817)))</f>
        <v/>
      </c>
    </row>
    <row r="818" spans="2:9">
      <c r="B818" s="164">
        <v>45875</v>
      </c>
      <c r="C818" t="s">
        <v>129</v>
      </c>
      <c r="D818">
        <v>3</v>
      </c>
      <c r="E818">
        <v>675450</v>
      </c>
      <c r="F818">
        <v>26603144</v>
      </c>
      <c r="G818">
        <v>2000</v>
      </c>
      <c r="H818" t="str">
        <f>IF(C818=C817,"",COUNTIF(G818,1000)+COUNTIF(G818,2000))</f>
        <v/>
      </c>
      <c r="I818" t="str">
        <f>IF(H818=0,"",IF(C818=C817,"",SUM($H$3:H818)))</f>
        <v/>
      </c>
    </row>
    <row r="819" spans="2:9">
      <c r="B819" s="164">
        <v>45875</v>
      </c>
      <c r="C819" t="s">
        <v>129</v>
      </c>
      <c r="D819">
        <v>3</v>
      </c>
      <c r="E819">
        <v>675450</v>
      </c>
      <c r="F819">
        <v>26603144</v>
      </c>
      <c r="G819">
        <v>2000</v>
      </c>
      <c r="H819" t="str">
        <f>IF(C819=C818,"",COUNTIF(G819,1000)+COUNTIF(G819,2000))</f>
        <v/>
      </c>
      <c r="I819" t="str">
        <f>IF(H819=0,"",IF(C819=C818,"",SUM($H$3:H819)))</f>
        <v/>
      </c>
    </row>
    <row r="820" spans="2:9">
      <c r="B820" s="164">
        <v>45875</v>
      </c>
      <c r="C820" t="s">
        <v>129</v>
      </c>
      <c r="D820">
        <v>3</v>
      </c>
      <c r="E820">
        <v>675450</v>
      </c>
      <c r="F820">
        <v>26603144</v>
      </c>
      <c r="G820">
        <v>2000</v>
      </c>
      <c r="H820" t="str">
        <f>IF(C820=C819,"",COUNTIF(G820,1000)+COUNTIF(G820,2000))</f>
        <v/>
      </c>
      <c r="I820" t="str">
        <f>IF(H820=0,"",IF(C820=C819,"",SUM($H$3:H820)))</f>
        <v/>
      </c>
    </row>
    <row r="821" spans="2:9">
      <c r="B821" s="164">
        <v>45875</v>
      </c>
      <c r="C821" t="s">
        <v>129</v>
      </c>
      <c r="D821">
        <v>3</v>
      </c>
      <c r="E821">
        <v>675450</v>
      </c>
      <c r="F821">
        <v>26603144</v>
      </c>
      <c r="G821">
        <v>2000</v>
      </c>
      <c r="H821" t="str">
        <f>IF(C821=C820,"",COUNTIF(G821,1000)+COUNTIF(G821,2000))</f>
        <v/>
      </c>
      <c r="I821" t="str">
        <f>IF(H821=0,"",IF(C821=C820,"",SUM($H$3:H821)))</f>
        <v/>
      </c>
    </row>
    <row r="822" spans="2:9">
      <c r="B822" s="164">
        <v>45875</v>
      </c>
      <c r="C822" t="s">
        <v>129</v>
      </c>
      <c r="D822">
        <v>3</v>
      </c>
      <c r="E822">
        <v>675450</v>
      </c>
      <c r="F822">
        <v>26603144</v>
      </c>
      <c r="G822">
        <v>2000</v>
      </c>
      <c r="H822" t="str">
        <f>IF(C822=C821,"",COUNTIF(G822,1000)+COUNTIF(G822,2000))</f>
        <v/>
      </c>
      <c r="I822" t="str">
        <f>IF(H822=0,"",IF(C822=C821,"",SUM($H$3:H822)))</f>
        <v/>
      </c>
    </row>
    <row r="823" spans="2:9">
      <c r="B823" s="164">
        <v>45875</v>
      </c>
      <c r="C823" t="s">
        <v>129</v>
      </c>
      <c r="D823">
        <v>3</v>
      </c>
      <c r="E823">
        <v>675450</v>
      </c>
      <c r="F823">
        <v>26603144</v>
      </c>
      <c r="G823">
        <v>2000</v>
      </c>
      <c r="H823" t="str">
        <f>IF(C823=C822,"",COUNTIF(G823,1000)+COUNTIF(G823,2000))</f>
        <v/>
      </c>
      <c r="I823" t="str">
        <f>IF(H823=0,"",IF(C823=C822,"",SUM($H$3:H823)))</f>
        <v/>
      </c>
    </row>
    <row r="824" spans="2:9">
      <c r="B824" s="164">
        <v>45875</v>
      </c>
      <c r="C824" t="s">
        <v>129</v>
      </c>
      <c r="D824">
        <v>3</v>
      </c>
      <c r="E824">
        <v>675450</v>
      </c>
      <c r="F824">
        <v>26603144</v>
      </c>
      <c r="G824">
        <v>2000</v>
      </c>
      <c r="H824" t="str">
        <f>IF(C824=C823,"",COUNTIF(G824,1000)+COUNTIF(G824,2000))</f>
        <v/>
      </c>
      <c r="I824" t="str">
        <f>IF(H824=0,"",IF(C824=C823,"",SUM($H$3:H824)))</f>
        <v/>
      </c>
    </row>
    <row r="825" spans="2:9">
      <c r="B825" s="164">
        <v>45875</v>
      </c>
      <c r="C825" t="s">
        <v>129</v>
      </c>
      <c r="D825">
        <v>3</v>
      </c>
      <c r="E825">
        <v>675450</v>
      </c>
      <c r="F825">
        <v>26603144</v>
      </c>
      <c r="G825">
        <v>2000</v>
      </c>
      <c r="H825" t="str">
        <f>IF(C825=C824,"",COUNTIF(G825,1000)+COUNTIF(G825,2000))</f>
        <v/>
      </c>
      <c r="I825" t="str">
        <f>IF(H825=0,"",IF(C825=C824,"",SUM($H$3:H825)))</f>
        <v/>
      </c>
    </row>
    <row r="826" spans="2:9">
      <c r="B826" s="164">
        <v>45875</v>
      </c>
      <c r="C826" t="s">
        <v>129</v>
      </c>
      <c r="D826">
        <v>3</v>
      </c>
      <c r="E826">
        <v>675450</v>
      </c>
      <c r="F826">
        <v>26603144</v>
      </c>
      <c r="G826">
        <v>2000</v>
      </c>
      <c r="H826" t="str">
        <f>IF(C826=C825,"",COUNTIF(G826,1000)+COUNTIF(G826,2000))</f>
        <v/>
      </c>
      <c r="I826" t="str">
        <f>IF(H826=0,"",IF(C826=C825,"",SUM($H$3:H826)))</f>
        <v/>
      </c>
    </row>
    <row r="827" spans="2:9">
      <c r="B827" s="164">
        <v>45875</v>
      </c>
      <c r="C827" t="s">
        <v>129</v>
      </c>
      <c r="D827">
        <v>3</v>
      </c>
      <c r="E827">
        <v>675450</v>
      </c>
      <c r="F827">
        <v>26603144</v>
      </c>
      <c r="G827">
        <v>2000</v>
      </c>
      <c r="H827" t="str">
        <f>IF(C827=C826,"",COUNTIF(G827,1000)+COUNTIF(G827,2000))</f>
        <v/>
      </c>
      <c r="I827" t="str">
        <f>IF(H827=0,"",IF(C827=C826,"",SUM($H$3:H827)))</f>
        <v/>
      </c>
    </row>
    <row r="828" spans="2:9">
      <c r="B828" s="164">
        <v>45875</v>
      </c>
      <c r="C828" t="s">
        <v>129</v>
      </c>
      <c r="D828">
        <v>3</v>
      </c>
      <c r="E828">
        <v>675450</v>
      </c>
      <c r="F828">
        <v>26603144</v>
      </c>
      <c r="G828">
        <v>2000</v>
      </c>
      <c r="H828" t="str">
        <f>IF(C828=C827,"",COUNTIF(G828,1000)+COUNTIF(G828,2000))</f>
        <v/>
      </c>
      <c r="I828" t="str">
        <f>IF(H828=0,"",IF(C828=C827,"",SUM($H$3:H828)))</f>
        <v/>
      </c>
    </row>
    <row r="829" spans="2:9">
      <c r="B829" s="164">
        <v>45875</v>
      </c>
      <c r="C829" t="s">
        <v>129</v>
      </c>
      <c r="D829">
        <v>3</v>
      </c>
      <c r="E829">
        <v>675450</v>
      </c>
      <c r="F829">
        <v>26603144</v>
      </c>
      <c r="G829">
        <v>2000</v>
      </c>
      <c r="H829" t="str">
        <f>IF(C829=C828,"",COUNTIF(G829,1000)+COUNTIF(G829,2000))</f>
        <v/>
      </c>
      <c r="I829" t="str">
        <f>IF(H829=0,"",IF(C829=C828,"",SUM($H$3:H829)))</f>
        <v/>
      </c>
    </row>
    <row r="830" spans="2:9">
      <c r="B830" s="164">
        <v>45875</v>
      </c>
      <c r="C830" t="s">
        <v>129</v>
      </c>
      <c r="D830">
        <v>3</v>
      </c>
      <c r="E830">
        <v>675450</v>
      </c>
      <c r="F830">
        <v>26603144</v>
      </c>
      <c r="G830">
        <v>2000</v>
      </c>
      <c r="H830" t="str">
        <f>IF(C830=C829,"",COUNTIF(G830,1000)+COUNTIF(G830,2000))</f>
        <v/>
      </c>
      <c r="I830" t="str">
        <f>IF(H830=0,"",IF(C830=C829,"",SUM($H$3:H830)))</f>
        <v/>
      </c>
    </row>
    <row r="831" spans="2:9">
      <c r="B831" s="164">
        <v>45875</v>
      </c>
      <c r="C831" t="s">
        <v>129</v>
      </c>
      <c r="D831">
        <v>3</v>
      </c>
      <c r="E831">
        <v>675450</v>
      </c>
      <c r="F831">
        <v>26603144</v>
      </c>
      <c r="G831">
        <v>2000</v>
      </c>
      <c r="H831" t="str">
        <f>IF(C831=C830,"",COUNTIF(G831,1000)+COUNTIF(G831,2000))</f>
        <v/>
      </c>
      <c r="I831" t="str">
        <f>IF(H831=0,"",IF(C831=C830,"",SUM($H$3:H831)))</f>
        <v/>
      </c>
    </row>
    <row r="832" spans="2:9">
      <c r="B832" s="164">
        <v>45875</v>
      </c>
      <c r="C832" t="s">
        <v>129</v>
      </c>
      <c r="D832">
        <v>3</v>
      </c>
      <c r="E832">
        <v>675450</v>
      </c>
      <c r="F832">
        <v>26603144</v>
      </c>
      <c r="G832">
        <v>2000</v>
      </c>
      <c r="H832" t="str">
        <f>IF(C832=C831,"",COUNTIF(G832,1000)+COUNTIF(G832,2000))</f>
        <v/>
      </c>
      <c r="I832" t="str">
        <f>IF(H832=0,"",IF(C832=C831,"",SUM($H$3:H832)))</f>
        <v/>
      </c>
    </row>
    <row r="833" spans="2:9">
      <c r="B833" s="164">
        <v>45875</v>
      </c>
      <c r="C833" t="s">
        <v>129</v>
      </c>
      <c r="D833">
        <v>3</v>
      </c>
      <c r="E833">
        <v>675450</v>
      </c>
      <c r="F833">
        <v>26603144</v>
      </c>
      <c r="G833">
        <v>2000</v>
      </c>
      <c r="H833" t="str">
        <f>IF(C833=C832,"",COUNTIF(G833,1000)+COUNTIF(G833,2000))</f>
        <v/>
      </c>
      <c r="I833" t="str">
        <f>IF(H833=0,"",IF(C833=C832,"",SUM($H$3:H833)))</f>
        <v/>
      </c>
    </row>
    <row r="834" spans="2:9">
      <c r="B834" s="164">
        <v>45875</v>
      </c>
      <c r="C834" t="s">
        <v>129</v>
      </c>
      <c r="D834">
        <v>3</v>
      </c>
      <c r="E834">
        <v>675450</v>
      </c>
      <c r="F834">
        <v>26603144</v>
      </c>
      <c r="G834">
        <v>2000</v>
      </c>
      <c r="H834" t="str">
        <f>IF(C834=C833,"",COUNTIF(G834,1000)+COUNTIF(G834,2000))</f>
        <v/>
      </c>
      <c r="I834" t="str">
        <f>IF(H834=0,"",IF(C834=C833,"",SUM($H$3:H834)))</f>
        <v/>
      </c>
    </row>
    <row r="835" spans="2:9">
      <c r="B835" s="164">
        <v>45875</v>
      </c>
      <c r="C835" t="s">
        <v>129</v>
      </c>
      <c r="D835">
        <v>3</v>
      </c>
      <c r="E835">
        <v>675450</v>
      </c>
      <c r="F835">
        <v>26603144</v>
      </c>
      <c r="G835">
        <v>2000</v>
      </c>
      <c r="H835" t="str">
        <f>IF(C835=C834,"",COUNTIF(G835,1000)+COUNTIF(G835,2000))</f>
        <v/>
      </c>
      <c r="I835" t="str">
        <f>IF(H835=0,"",IF(C835=C834,"",SUM($H$3:H835)))</f>
        <v/>
      </c>
    </row>
    <row r="836" spans="2:9">
      <c r="B836" s="164">
        <v>45875</v>
      </c>
      <c r="C836" t="s">
        <v>129</v>
      </c>
      <c r="D836">
        <v>3</v>
      </c>
      <c r="E836">
        <v>675450</v>
      </c>
      <c r="F836">
        <v>26603144</v>
      </c>
      <c r="G836">
        <v>2000</v>
      </c>
      <c r="H836" t="str">
        <f>IF(C836=C835,"",COUNTIF(G836,1000)+COUNTIF(G836,2000))</f>
        <v/>
      </c>
      <c r="I836" t="str">
        <f>IF(H836=0,"",IF(C836=C835,"",SUM($H$3:H836)))</f>
        <v/>
      </c>
    </row>
    <row r="837" spans="2:9">
      <c r="B837" s="164">
        <v>45875</v>
      </c>
      <c r="C837" t="s">
        <v>129</v>
      </c>
      <c r="D837">
        <v>3</v>
      </c>
      <c r="E837">
        <v>675450</v>
      </c>
      <c r="F837">
        <v>26603144</v>
      </c>
      <c r="G837">
        <v>2000</v>
      </c>
      <c r="H837" t="str">
        <f>IF(C837=C836,"",COUNTIF(G837,1000)+COUNTIF(G837,2000))</f>
        <v/>
      </c>
      <c r="I837" t="str">
        <f>IF(H837=0,"",IF(C837=C836,"",SUM($H$3:H837)))</f>
        <v/>
      </c>
    </row>
    <row r="838" spans="2:9">
      <c r="B838" s="164">
        <v>45875</v>
      </c>
      <c r="C838" t="s">
        <v>129</v>
      </c>
      <c r="D838">
        <v>3</v>
      </c>
      <c r="E838">
        <v>675450</v>
      </c>
      <c r="F838">
        <v>26603144</v>
      </c>
      <c r="G838">
        <v>2000</v>
      </c>
      <c r="H838" t="str">
        <f>IF(C838=C837,"",COUNTIF(G838,1000)+COUNTIF(G838,2000))</f>
        <v/>
      </c>
      <c r="I838" t="str">
        <f>IF(H838=0,"",IF(C838=C837,"",SUM($H$3:H838)))</f>
        <v/>
      </c>
    </row>
    <row r="839" spans="2:9">
      <c r="B839" s="164">
        <v>45888</v>
      </c>
      <c r="C839" t="s">
        <v>128</v>
      </c>
      <c r="D839">
        <v>3</v>
      </c>
      <c r="E839">
        <v>2080000</v>
      </c>
      <c r="F839">
        <v>71776677</v>
      </c>
      <c r="G839">
        <v>1000</v>
      </c>
      <c r="H839">
        <f>IF(C839=C838,"",COUNTIF(G839,1000)+COUNTIF(G839,2000))</f>
        <v>1</v>
      </c>
      <c r="I839">
        <f>IF(H839=0,"",IF(C839=C838,"",SUM($H$3:H839)))</f>
        <v>17</v>
      </c>
    </row>
    <row r="840" spans="2:9">
      <c r="B840" s="164">
        <v>45888</v>
      </c>
      <c r="C840" t="s">
        <v>128</v>
      </c>
      <c r="D840">
        <v>2</v>
      </c>
      <c r="E840">
        <v>2080000</v>
      </c>
      <c r="F840">
        <v>71776677</v>
      </c>
      <c r="G840">
        <v>1000</v>
      </c>
      <c r="H840" t="str">
        <f>IF(C840=C839,"",COUNTIF(G840,1000)+COUNTIF(G840,2000))</f>
        <v/>
      </c>
      <c r="I840" t="str">
        <f>IF(H840=0,"",IF(C840=C839,"",SUM($H$3:H840)))</f>
        <v/>
      </c>
    </row>
    <row r="841" spans="2:9">
      <c r="B841" s="164">
        <v>45888</v>
      </c>
      <c r="C841" t="s">
        <v>128</v>
      </c>
      <c r="D841">
        <v>1</v>
      </c>
      <c r="E841">
        <v>2080000</v>
      </c>
      <c r="F841">
        <v>71776677</v>
      </c>
      <c r="G841">
        <v>1000</v>
      </c>
      <c r="H841" t="str">
        <f>IF(C841=C840,"",COUNTIF(G841,1000)+COUNTIF(G841,2000))</f>
        <v/>
      </c>
      <c r="I841" t="str">
        <f>IF(H841=0,"",IF(C841=C840,"",SUM($H$3:H841)))</f>
        <v/>
      </c>
    </row>
    <row r="842" spans="2:9">
      <c r="B842" s="164">
        <v>45888</v>
      </c>
      <c r="C842" t="s">
        <v>128</v>
      </c>
      <c r="D842">
        <v>1</v>
      </c>
      <c r="E842">
        <v>2080000</v>
      </c>
      <c r="F842">
        <v>71776677</v>
      </c>
      <c r="G842">
        <v>1000</v>
      </c>
      <c r="H842" t="str">
        <f>IF(C842=C841,"",COUNTIF(G842,1000)+COUNTIF(G842,2000))</f>
        <v/>
      </c>
      <c r="I842" t="str">
        <f>IF(H842=0,"",IF(C842=C841,"",SUM($H$3:H842)))</f>
        <v/>
      </c>
    </row>
    <row r="843" spans="2:9">
      <c r="B843" s="164">
        <v>45888</v>
      </c>
      <c r="C843" t="s">
        <v>128</v>
      </c>
      <c r="D843">
        <v>2</v>
      </c>
      <c r="E843">
        <v>2080000</v>
      </c>
      <c r="F843">
        <v>71776677</v>
      </c>
      <c r="G843">
        <v>1000</v>
      </c>
      <c r="H843" t="str">
        <f>IF(C843=C842,"",COUNTIF(G843,1000)+COUNTIF(G843,2000))</f>
        <v/>
      </c>
      <c r="I843" t="str">
        <f>IF(H843=0,"",IF(C843=C842,"",SUM($H$3:H843)))</f>
        <v/>
      </c>
    </row>
    <row r="844" spans="2:9">
      <c r="B844" s="164">
        <v>45888</v>
      </c>
      <c r="C844" t="s">
        <v>128</v>
      </c>
      <c r="D844">
        <v>2</v>
      </c>
      <c r="E844">
        <v>2080000</v>
      </c>
      <c r="F844">
        <v>71776677</v>
      </c>
      <c r="G844">
        <v>1000</v>
      </c>
      <c r="H844" t="str">
        <f>IF(C844=C843,"",COUNTIF(G844,1000)+COUNTIF(G844,2000))</f>
        <v/>
      </c>
      <c r="I844" t="str">
        <f>IF(H844=0,"",IF(C844=C843,"",SUM($H$3:H844)))</f>
        <v/>
      </c>
    </row>
    <row r="845" spans="2:9">
      <c r="B845" s="164">
        <v>45888</v>
      </c>
      <c r="C845" t="s">
        <v>128</v>
      </c>
      <c r="D845">
        <v>2</v>
      </c>
      <c r="E845">
        <v>2080000</v>
      </c>
      <c r="F845">
        <v>71776677</v>
      </c>
      <c r="G845">
        <v>1000</v>
      </c>
      <c r="H845" t="str">
        <f>IF(C845=C844,"",COUNTIF(G845,1000)+COUNTIF(G845,2000))</f>
        <v/>
      </c>
      <c r="I845" t="str">
        <f>IF(H845=0,"",IF(C845=C844,"",SUM($H$3:H845)))</f>
        <v/>
      </c>
    </row>
    <row r="846" spans="2:9">
      <c r="B846" s="164">
        <v>45888</v>
      </c>
      <c r="C846" t="s">
        <v>128</v>
      </c>
      <c r="D846">
        <v>2</v>
      </c>
      <c r="E846">
        <v>2080000</v>
      </c>
      <c r="F846">
        <v>71776677</v>
      </c>
      <c r="G846">
        <v>1000</v>
      </c>
      <c r="H846" t="str">
        <f>IF(C846=C845,"",COUNTIF(G846,1000)+COUNTIF(G846,2000))</f>
        <v/>
      </c>
      <c r="I846" t="str">
        <f>IF(H846=0,"",IF(C846=C845,"",SUM($H$3:H846)))</f>
        <v/>
      </c>
    </row>
    <row r="847" spans="2:9">
      <c r="B847" s="164">
        <v>45888</v>
      </c>
      <c r="C847" t="s">
        <v>128</v>
      </c>
      <c r="D847">
        <v>2</v>
      </c>
      <c r="E847">
        <v>2080000</v>
      </c>
      <c r="F847">
        <v>71776677</v>
      </c>
      <c r="G847">
        <v>1000</v>
      </c>
      <c r="H847" t="str">
        <f>IF(C847=C846,"",COUNTIF(G847,1000)+COUNTIF(G847,2000))</f>
        <v/>
      </c>
      <c r="I847" t="str">
        <f>IF(H847=0,"",IF(C847=C846,"",SUM($H$3:H847)))</f>
        <v/>
      </c>
    </row>
    <row r="848" spans="2:9">
      <c r="B848" s="164">
        <v>45888</v>
      </c>
      <c r="C848" t="s">
        <v>128</v>
      </c>
      <c r="D848">
        <v>2</v>
      </c>
      <c r="E848">
        <v>2080000</v>
      </c>
      <c r="F848">
        <v>71776677</v>
      </c>
      <c r="G848">
        <v>1000</v>
      </c>
      <c r="H848" t="str">
        <f>IF(C848=C847,"",COUNTIF(G848,1000)+COUNTIF(G848,2000))</f>
        <v/>
      </c>
      <c r="I848" t="str">
        <f>IF(H848=0,"",IF(C848=C847,"",SUM($H$3:H848)))</f>
        <v/>
      </c>
    </row>
    <row r="849" spans="2:9">
      <c r="B849" s="164">
        <v>45888</v>
      </c>
      <c r="C849" t="s">
        <v>128</v>
      </c>
      <c r="D849">
        <v>2</v>
      </c>
      <c r="E849">
        <v>2080000</v>
      </c>
      <c r="F849">
        <v>71776677</v>
      </c>
      <c r="G849">
        <v>1000</v>
      </c>
      <c r="H849" t="str">
        <f>IF(C849=C848,"",COUNTIF(G849,1000)+COUNTIF(G849,2000))</f>
        <v/>
      </c>
      <c r="I849" t="str">
        <f>IF(H849=0,"",IF(C849=C848,"",SUM($H$3:H849)))</f>
        <v/>
      </c>
    </row>
    <row r="850" spans="2:9">
      <c r="B850" s="164">
        <v>45888</v>
      </c>
      <c r="C850" t="s">
        <v>128</v>
      </c>
      <c r="D850">
        <v>2</v>
      </c>
      <c r="E850">
        <v>2080000</v>
      </c>
      <c r="F850">
        <v>71776677</v>
      </c>
      <c r="G850">
        <v>1000</v>
      </c>
      <c r="H850" t="str">
        <f>IF(C850=C849,"",COUNTIF(G850,1000)+COUNTIF(G850,2000))</f>
        <v/>
      </c>
      <c r="I850" t="str">
        <f>IF(H850=0,"",IF(C850=C849,"",SUM($H$3:H850)))</f>
        <v/>
      </c>
    </row>
    <row r="851" spans="2:9">
      <c r="B851" s="164">
        <v>45888</v>
      </c>
      <c r="C851" t="s">
        <v>128</v>
      </c>
      <c r="D851">
        <v>2</v>
      </c>
      <c r="E851">
        <v>2080000</v>
      </c>
      <c r="F851">
        <v>71776677</v>
      </c>
      <c r="G851">
        <v>1000</v>
      </c>
      <c r="H851" t="str">
        <f>IF(C851=C850,"",COUNTIF(G851,1000)+COUNTIF(G851,2000))</f>
        <v/>
      </c>
      <c r="I851" t="str">
        <f>IF(H851=0,"",IF(C851=C850,"",SUM($H$3:H851)))</f>
        <v/>
      </c>
    </row>
    <row r="852" spans="2:9">
      <c r="B852" s="164">
        <v>45888</v>
      </c>
      <c r="C852" t="s">
        <v>128</v>
      </c>
      <c r="D852">
        <v>2</v>
      </c>
      <c r="E852">
        <v>2080000</v>
      </c>
      <c r="F852">
        <v>71776677</v>
      </c>
      <c r="G852">
        <v>1000</v>
      </c>
      <c r="H852" t="str">
        <f>IF(C852=C851,"",COUNTIF(G852,1000)+COUNTIF(G852,2000))</f>
        <v/>
      </c>
      <c r="I852" t="str">
        <f>IF(H852=0,"",IF(C852=C851,"",SUM($H$3:H852)))</f>
        <v/>
      </c>
    </row>
    <row r="853" spans="2:9">
      <c r="B853" s="164">
        <v>45888</v>
      </c>
      <c r="C853" t="s">
        <v>128</v>
      </c>
      <c r="D853">
        <v>2</v>
      </c>
      <c r="E853">
        <v>2080000</v>
      </c>
      <c r="F853">
        <v>71776677</v>
      </c>
      <c r="G853">
        <v>1000</v>
      </c>
      <c r="H853" t="str">
        <f>IF(C853=C852,"",COUNTIF(G853,1000)+COUNTIF(G853,2000))</f>
        <v/>
      </c>
      <c r="I853" t="str">
        <f>IF(H853=0,"",IF(C853=C852,"",SUM($H$3:H853)))</f>
        <v/>
      </c>
    </row>
    <row r="854" spans="2:9">
      <c r="B854" s="164">
        <v>45888</v>
      </c>
      <c r="C854" t="s">
        <v>128</v>
      </c>
      <c r="D854">
        <v>2</v>
      </c>
      <c r="E854">
        <v>2080000</v>
      </c>
      <c r="F854">
        <v>71776677</v>
      </c>
      <c r="G854">
        <v>1000</v>
      </c>
      <c r="H854" t="str">
        <f>IF(C854=C853,"",COUNTIF(G854,1000)+COUNTIF(G854,2000))</f>
        <v/>
      </c>
      <c r="I854" t="str">
        <f>IF(H854=0,"",IF(C854=C853,"",SUM($H$3:H854)))</f>
        <v/>
      </c>
    </row>
    <row r="855" spans="2:9">
      <c r="B855" s="164">
        <v>45888</v>
      </c>
      <c r="C855" t="s">
        <v>128</v>
      </c>
      <c r="D855">
        <v>2</v>
      </c>
      <c r="E855">
        <v>2080000</v>
      </c>
      <c r="F855">
        <v>71776677</v>
      </c>
      <c r="G855">
        <v>1000</v>
      </c>
      <c r="H855" t="str">
        <f>IF(C855=C854,"",COUNTIF(G855,1000)+COUNTIF(G855,2000))</f>
        <v/>
      </c>
      <c r="I855" t="str">
        <f>IF(H855=0,"",IF(C855=C854,"",SUM($H$3:H855)))</f>
        <v/>
      </c>
    </row>
    <row r="856" spans="2:9">
      <c r="B856" s="164">
        <v>45888</v>
      </c>
      <c r="C856" t="s">
        <v>128</v>
      </c>
      <c r="D856">
        <v>2</v>
      </c>
      <c r="E856">
        <v>2080000</v>
      </c>
      <c r="F856">
        <v>71776677</v>
      </c>
      <c r="G856">
        <v>1000</v>
      </c>
      <c r="H856" t="str">
        <f>IF(C856=C855,"",COUNTIF(G856,1000)+COUNTIF(G856,2000))</f>
        <v/>
      </c>
      <c r="I856" t="str">
        <f>IF(H856=0,"",IF(C856=C855,"",SUM($H$3:H856)))</f>
        <v/>
      </c>
    </row>
    <row r="857" spans="2:9">
      <c r="B857" s="164">
        <v>45888</v>
      </c>
      <c r="C857" t="s">
        <v>128</v>
      </c>
      <c r="D857">
        <v>2</v>
      </c>
      <c r="E857">
        <v>2080000</v>
      </c>
      <c r="F857">
        <v>71776677</v>
      </c>
      <c r="G857">
        <v>1000</v>
      </c>
      <c r="H857" t="str">
        <f>IF(C857=C856,"",COUNTIF(G857,1000)+COUNTIF(G857,2000))</f>
        <v/>
      </c>
      <c r="I857" t="str">
        <f>IF(H857=0,"",IF(C857=C856,"",SUM($H$3:H857)))</f>
        <v/>
      </c>
    </row>
    <row r="858" spans="2:9">
      <c r="B858" s="164">
        <v>45888</v>
      </c>
      <c r="C858" t="s">
        <v>128</v>
      </c>
      <c r="D858">
        <v>1</v>
      </c>
      <c r="E858">
        <v>2080000</v>
      </c>
      <c r="F858">
        <v>71776677</v>
      </c>
      <c r="G858">
        <v>1000</v>
      </c>
      <c r="H858" t="str">
        <f>IF(C858=C857,"",COUNTIF(G858,1000)+COUNTIF(G858,2000))</f>
        <v/>
      </c>
      <c r="I858" t="str">
        <f>IF(H858=0,"",IF(C858=C857,"",SUM($H$3:H858)))</f>
        <v/>
      </c>
    </row>
    <row r="859" spans="2:9">
      <c r="B859" s="164">
        <v>45888</v>
      </c>
      <c r="C859" t="s">
        <v>128</v>
      </c>
      <c r="D859">
        <v>1</v>
      </c>
      <c r="E859">
        <v>2080000</v>
      </c>
      <c r="F859">
        <v>71776677</v>
      </c>
      <c r="G859">
        <v>1000</v>
      </c>
      <c r="H859" t="str">
        <f>IF(C859=C858,"",COUNTIF(G859,1000)+COUNTIF(G859,2000))</f>
        <v/>
      </c>
      <c r="I859" t="str">
        <f>IF(H859=0,"",IF(C859=C858,"",SUM($H$3:H859)))</f>
        <v/>
      </c>
    </row>
    <row r="860" spans="2:9">
      <c r="B860" s="164">
        <v>45888</v>
      </c>
      <c r="C860" t="s">
        <v>128</v>
      </c>
      <c r="D860">
        <v>1</v>
      </c>
      <c r="E860">
        <v>2080000</v>
      </c>
      <c r="F860">
        <v>71776677</v>
      </c>
      <c r="G860">
        <v>1000</v>
      </c>
      <c r="H860" t="str">
        <f>IF(C860=C859,"",COUNTIF(G860,1000)+COUNTIF(G860,2000))</f>
        <v/>
      </c>
      <c r="I860" t="str">
        <f>IF(H860=0,"",IF(C860=C859,"",SUM($H$3:H860)))</f>
        <v/>
      </c>
    </row>
    <row r="861" spans="2:9">
      <c r="B861" s="164">
        <v>45888</v>
      </c>
      <c r="C861" t="s">
        <v>128</v>
      </c>
      <c r="D861">
        <v>1</v>
      </c>
      <c r="E861">
        <v>2080000</v>
      </c>
      <c r="F861">
        <v>71776677</v>
      </c>
      <c r="G861">
        <v>1000</v>
      </c>
      <c r="H861" t="str">
        <f>IF(C861=C860,"",COUNTIF(G861,1000)+COUNTIF(G861,2000))</f>
        <v/>
      </c>
      <c r="I861" t="str">
        <f>IF(H861=0,"",IF(C861=C860,"",SUM($H$3:H861)))</f>
        <v/>
      </c>
    </row>
    <row r="862" spans="2:9">
      <c r="B862" s="164">
        <v>45888</v>
      </c>
      <c r="C862" t="s">
        <v>128</v>
      </c>
      <c r="D862">
        <v>1</v>
      </c>
      <c r="E862">
        <v>2080000</v>
      </c>
      <c r="F862">
        <v>71776677</v>
      </c>
      <c r="G862">
        <v>1000</v>
      </c>
      <c r="H862" t="str">
        <f>IF(C862=C861,"",COUNTIF(G862,1000)+COUNTIF(G862,2000))</f>
        <v/>
      </c>
      <c r="I862" t="str">
        <f>IF(H862=0,"",IF(C862=C861,"",SUM($H$3:H862)))</f>
        <v/>
      </c>
    </row>
    <row r="863" spans="2:9">
      <c r="B863" s="164">
        <v>45888</v>
      </c>
      <c r="C863" t="s">
        <v>128</v>
      </c>
      <c r="D863">
        <v>2</v>
      </c>
      <c r="E863">
        <v>2080000</v>
      </c>
      <c r="F863">
        <v>71776677</v>
      </c>
      <c r="G863">
        <v>1000</v>
      </c>
      <c r="H863" t="str">
        <f>IF(C863=C862,"",COUNTIF(G863,1000)+COUNTIF(G863,2000))</f>
        <v/>
      </c>
      <c r="I863" t="str">
        <f>IF(H863=0,"",IF(C863=C862,"",SUM($H$3:H863)))</f>
        <v/>
      </c>
    </row>
    <row r="864" spans="2:9">
      <c r="B864" s="164">
        <v>45888</v>
      </c>
      <c r="C864" t="s">
        <v>128</v>
      </c>
      <c r="D864">
        <v>1</v>
      </c>
      <c r="E864">
        <v>2080000</v>
      </c>
      <c r="F864">
        <v>71776677</v>
      </c>
      <c r="G864">
        <v>1000</v>
      </c>
      <c r="H864" t="str">
        <f>IF(C864=C863,"",COUNTIF(G864,1000)+COUNTIF(G864,2000))</f>
        <v/>
      </c>
      <c r="I864" t="str">
        <f>IF(H864=0,"",IF(C864=C863,"",SUM($H$3:H864)))</f>
        <v/>
      </c>
    </row>
    <row r="865" spans="2:9">
      <c r="B865" s="164">
        <v>45888</v>
      </c>
      <c r="C865" t="s">
        <v>128</v>
      </c>
      <c r="D865">
        <v>1</v>
      </c>
      <c r="E865">
        <v>2080000</v>
      </c>
      <c r="F865">
        <v>71776677</v>
      </c>
      <c r="G865">
        <v>1000</v>
      </c>
      <c r="H865" t="str">
        <f>IF(C865=C864,"",COUNTIF(G865,1000)+COUNTIF(G865,2000))</f>
        <v/>
      </c>
      <c r="I865" t="str">
        <f>IF(H865=0,"",IF(C865=C864,"",SUM($H$3:H865)))</f>
        <v/>
      </c>
    </row>
    <row r="866" spans="2:9">
      <c r="B866" s="164">
        <v>45888</v>
      </c>
      <c r="C866" t="s">
        <v>128</v>
      </c>
      <c r="D866">
        <v>1</v>
      </c>
      <c r="E866">
        <v>2080000</v>
      </c>
      <c r="F866">
        <v>71776677</v>
      </c>
      <c r="G866">
        <v>1000</v>
      </c>
      <c r="H866" t="str">
        <f>IF(C866=C865,"",COUNTIF(G866,1000)+COUNTIF(G866,2000))</f>
        <v/>
      </c>
      <c r="I866" t="str">
        <f>IF(H866=0,"",IF(C866=C865,"",SUM($H$3:H866)))</f>
        <v/>
      </c>
    </row>
    <row r="867" spans="2:9">
      <c r="B867" s="164">
        <v>45888</v>
      </c>
      <c r="C867" t="s">
        <v>128</v>
      </c>
      <c r="D867">
        <v>1</v>
      </c>
      <c r="E867">
        <v>2080000</v>
      </c>
      <c r="F867">
        <v>71776677</v>
      </c>
      <c r="G867">
        <v>1000</v>
      </c>
      <c r="H867" t="str">
        <f>IF(C867=C866,"",COUNTIF(G867,1000)+COUNTIF(G867,2000))</f>
        <v/>
      </c>
      <c r="I867" t="str">
        <f>IF(H867=0,"",IF(C867=C866,"",SUM($H$3:H867)))</f>
        <v/>
      </c>
    </row>
    <row r="868" spans="2:9">
      <c r="B868" s="164">
        <v>45888</v>
      </c>
      <c r="C868" t="s">
        <v>128</v>
      </c>
      <c r="D868">
        <v>1</v>
      </c>
      <c r="E868">
        <v>2080000</v>
      </c>
      <c r="F868">
        <v>71776677</v>
      </c>
      <c r="G868">
        <v>1000</v>
      </c>
      <c r="H868" t="str">
        <f>IF(C868=C867,"",COUNTIF(G868,1000)+COUNTIF(G868,2000))</f>
        <v/>
      </c>
      <c r="I868" t="str">
        <f>IF(H868=0,"",IF(C868=C867,"",SUM($H$3:H868)))</f>
        <v/>
      </c>
    </row>
    <row r="869" spans="2:9">
      <c r="B869" s="164">
        <v>45888</v>
      </c>
      <c r="C869" t="s">
        <v>128</v>
      </c>
      <c r="D869">
        <v>1</v>
      </c>
      <c r="E869">
        <v>2080000</v>
      </c>
      <c r="F869">
        <v>71776677</v>
      </c>
      <c r="G869">
        <v>1000</v>
      </c>
      <c r="H869" t="str">
        <f>IF(C869=C868,"",COUNTIF(G869,1000)+COUNTIF(G869,2000))</f>
        <v/>
      </c>
      <c r="I869" t="str">
        <f>IF(H869=0,"",IF(C869=C868,"",SUM($H$3:H869)))</f>
        <v/>
      </c>
    </row>
    <row r="870" spans="2:9">
      <c r="B870" s="164">
        <v>45888</v>
      </c>
      <c r="C870" t="s">
        <v>128</v>
      </c>
      <c r="D870">
        <v>1</v>
      </c>
      <c r="E870">
        <v>2080000</v>
      </c>
      <c r="F870">
        <v>71776677</v>
      </c>
      <c r="G870">
        <v>1000</v>
      </c>
      <c r="H870" t="str">
        <f>IF(C870=C869,"",COUNTIF(G870,1000)+COUNTIF(G870,2000))</f>
        <v/>
      </c>
      <c r="I870" t="str">
        <f>IF(H870=0,"",IF(C870=C869,"",SUM($H$3:H870)))</f>
        <v/>
      </c>
    </row>
    <row r="871" spans="2:9">
      <c r="B871" s="164">
        <v>45888</v>
      </c>
      <c r="C871" t="s">
        <v>128</v>
      </c>
      <c r="D871">
        <v>1</v>
      </c>
      <c r="E871">
        <v>2080000</v>
      </c>
      <c r="F871">
        <v>71776677</v>
      </c>
      <c r="G871">
        <v>1000</v>
      </c>
      <c r="H871" t="str">
        <f>IF(C871=C870,"",COUNTIF(G871,1000)+COUNTIF(G871,2000))</f>
        <v/>
      </c>
      <c r="I871" t="str">
        <f>IF(H871=0,"",IF(C871=C870,"",SUM($H$3:H871)))</f>
        <v/>
      </c>
    </row>
    <row r="872" spans="2:9">
      <c r="B872" s="164">
        <v>45888</v>
      </c>
      <c r="C872" t="s">
        <v>128</v>
      </c>
      <c r="D872">
        <v>1</v>
      </c>
      <c r="E872">
        <v>2080000</v>
      </c>
      <c r="F872">
        <v>71776677</v>
      </c>
      <c r="G872">
        <v>1000</v>
      </c>
      <c r="H872" t="str">
        <f>IF(C872=C871,"",COUNTIF(G872,1000)+COUNTIF(G872,2000))</f>
        <v/>
      </c>
      <c r="I872" t="str">
        <f>IF(H872=0,"",IF(C872=C871,"",SUM($H$3:H872)))</f>
        <v/>
      </c>
    </row>
    <row r="873" spans="2:9">
      <c r="B873" s="164">
        <v>45888</v>
      </c>
      <c r="C873" t="s">
        <v>128</v>
      </c>
      <c r="D873">
        <v>1</v>
      </c>
      <c r="E873">
        <v>2080000</v>
      </c>
      <c r="F873">
        <v>71776677</v>
      </c>
      <c r="G873">
        <v>1000</v>
      </c>
      <c r="H873" t="str">
        <f>IF(C873=C872,"",COUNTIF(G873,1000)+COUNTIF(G873,2000))</f>
        <v/>
      </c>
      <c r="I873" t="str">
        <f>IF(H873=0,"",IF(C873=C872,"",SUM($H$3:H873)))</f>
        <v/>
      </c>
    </row>
    <row r="874" spans="2:9">
      <c r="B874" s="164">
        <v>45888</v>
      </c>
      <c r="C874" t="s">
        <v>128</v>
      </c>
      <c r="D874">
        <v>3</v>
      </c>
      <c r="E874">
        <v>2080000</v>
      </c>
      <c r="F874">
        <v>71776677</v>
      </c>
      <c r="G874">
        <v>1000</v>
      </c>
      <c r="H874" t="str">
        <f>IF(C874=C873,"",COUNTIF(G874,1000)+COUNTIF(G874,2000))</f>
        <v/>
      </c>
      <c r="I874" t="str">
        <f>IF(H874=0,"",IF(C874=C873,"",SUM($H$3:H874)))</f>
        <v/>
      </c>
    </row>
    <row r="875" spans="2:9">
      <c r="B875" s="164">
        <v>45888</v>
      </c>
      <c r="C875" t="s">
        <v>128</v>
      </c>
      <c r="D875">
        <v>2</v>
      </c>
      <c r="E875">
        <v>2080000</v>
      </c>
      <c r="F875">
        <v>71776677</v>
      </c>
      <c r="G875">
        <v>1000</v>
      </c>
      <c r="H875" t="str">
        <f>IF(C875=C874,"",COUNTIF(G875,1000)+COUNTIF(G875,2000))</f>
        <v/>
      </c>
      <c r="I875" t="str">
        <f>IF(H875=0,"",IF(C875=C874,"",SUM($H$3:H875)))</f>
        <v/>
      </c>
    </row>
    <row r="876" spans="2:9">
      <c r="B876" s="164">
        <v>45888</v>
      </c>
      <c r="C876" t="s">
        <v>128</v>
      </c>
      <c r="D876">
        <v>2</v>
      </c>
      <c r="E876">
        <v>2080000</v>
      </c>
      <c r="F876">
        <v>71776677</v>
      </c>
      <c r="G876">
        <v>1000</v>
      </c>
      <c r="H876" t="str">
        <f>IF(C876=C875,"",COUNTIF(G876,1000)+COUNTIF(G876,2000))</f>
        <v/>
      </c>
      <c r="I876" t="str">
        <f>IF(H876=0,"",IF(C876=C875,"",SUM($H$3:H876)))</f>
        <v/>
      </c>
    </row>
    <row r="877" spans="2:9">
      <c r="B877" s="164">
        <v>45888</v>
      </c>
      <c r="C877" t="s">
        <v>128</v>
      </c>
      <c r="D877">
        <v>2</v>
      </c>
      <c r="E877">
        <v>2080000</v>
      </c>
      <c r="F877">
        <v>71776677</v>
      </c>
      <c r="G877">
        <v>1000</v>
      </c>
      <c r="H877" t="str">
        <f>IF(C877=C876,"",COUNTIF(G877,1000)+COUNTIF(G877,2000))</f>
        <v/>
      </c>
      <c r="I877" t="str">
        <f>IF(H877=0,"",IF(C877=C876,"",SUM($H$3:H877)))</f>
        <v/>
      </c>
    </row>
    <row r="878" spans="2:9">
      <c r="B878" s="164">
        <v>45888</v>
      </c>
      <c r="C878" t="s">
        <v>128</v>
      </c>
      <c r="D878">
        <v>2</v>
      </c>
      <c r="E878">
        <v>2080000</v>
      </c>
      <c r="F878">
        <v>71776677</v>
      </c>
      <c r="G878">
        <v>1000</v>
      </c>
      <c r="H878" t="str">
        <f>IF(C878=C877,"",COUNTIF(G878,1000)+COUNTIF(G878,2000))</f>
        <v/>
      </c>
      <c r="I878" t="str">
        <f>IF(H878=0,"",IF(C878=C877,"",SUM($H$3:H878)))</f>
        <v/>
      </c>
    </row>
    <row r="879" spans="2:9">
      <c r="B879" s="164">
        <v>45888</v>
      </c>
      <c r="C879" t="s">
        <v>128</v>
      </c>
      <c r="D879">
        <v>2</v>
      </c>
      <c r="E879">
        <v>2080000</v>
      </c>
      <c r="F879">
        <v>71776677</v>
      </c>
      <c r="G879">
        <v>1000</v>
      </c>
      <c r="H879" t="str">
        <f>IF(C879=C878,"",COUNTIF(G879,1000)+COUNTIF(G879,2000))</f>
        <v/>
      </c>
      <c r="I879" t="str">
        <f>IF(H879=0,"",IF(C879=C878,"",SUM($H$3:H879)))</f>
        <v/>
      </c>
    </row>
    <row r="880" spans="2:9">
      <c r="B880" s="164">
        <v>45888</v>
      </c>
      <c r="C880" t="s">
        <v>128</v>
      </c>
      <c r="D880">
        <v>1</v>
      </c>
      <c r="E880">
        <v>2080000</v>
      </c>
      <c r="F880">
        <v>71776677</v>
      </c>
      <c r="G880">
        <v>1000</v>
      </c>
      <c r="H880" t="str">
        <f>IF(C880=C879,"",COUNTIF(G880,1000)+COUNTIF(G880,2000))</f>
        <v/>
      </c>
      <c r="I880" t="str">
        <f>IF(H880=0,"",IF(C880=C879,"",SUM($H$3:H880)))</f>
        <v/>
      </c>
    </row>
    <row r="881" spans="2:9">
      <c r="B881" s="164">
        <v>45888</v>
      </c>
      <c r="C881" t="s">
        <v>128</v>
      </c>
      <c r="D881">
        <v>1</v>
      </c>
      <c r="E881">
        <v>2080000</v>
      </c>
      <c r="F881">
        <v>71776677</v>
      </c>
      <c r="G881">
        <v>1000</v>
      </c>
      <c r="H881" t="str">
        <f>IF(C881=C880,"",COUNTIF(G881,1000)+COUNTIF(G881,2000))</f>
        <v/>
      </c>
      <c r="I881" t="str">
        <f>IF(H881=0,"",IF(C881=C880,"",SUM($H$3:H881)))</f>
        <v/>
      </c>
    </row>
    <row r="882" spans="2:9">
      <c r="B882" s="164">
        <v>45888</v>
      </c>
      <c r="C882" t="s">
        <v>128</v>
      </c>
      <c r="D882">
        <v>1</v>
      </c>
      <c r="E882">
        <v>2080000</v>
      </c>
      <c r="F882">
        <v>71776677</v>
      </c>
      <c r="G882">
        <v>1000</v>
      </c>
      <c r="H882" t="str">
        <f>IF(C882=C881,"",COUNTIF(G882,1000)+COUNTIF(G882,2000))</f>
        <v/>
      </c>
      <c r="I882" t="str">
        <f>IF(H882=0,"",IF(C882=C881,"",SUM($H$3:H882)))</f>
        <v/>
      </c>
    </row>
    <row r="883" spans="2:9">
      <c r="B883" s="164">
        <v>45888</v>
      </c>
      <c r="C883" t="s">
        <v>128</v>
      </c>
      <c r="D883">
        <v>2</v>
      </c>
      <c r="E883">
        <v>2080000</v>
      </c>
      <c r="F883">
        <v>71776677</v>
      </c>
      <c r="G883">
        <v>1000</v>
      </c>
      <c r="H883" t="str">
        <f>IF(C883=C882,"",COUNTIF(G883,1000)+COUNTIF(G883,2000))</f>
        <v/>
      </c>
      <c r="I883" t="str">
        <f>IF(H883=0,"",IF(C883=C882,"",SUM($H$3:H883)))</f>
        <v/>
      </c>
    </row>
    <row r="884" spans="2:9">
      <c r="B884" s="164">
        <v>45888</v>
      </c>
      <c r="C884" t="s">
        <v>128</v>
      </c>
      <c r="D884">
        <v>2</v>
      </c>
      <c r="E884">
        <v>2080000</v>
      </c>
      <c r="F884">
        <v>71776677</v>
      </c>
      <c r="G884">
        <v>1000</v>
      </c>
      <c r="H884" t="str">
        <f>IF(C884=C883,"",COUNTIF(G884,1000)+COUNTIF(G884,2000))</f>
        <v/>
      </c>
      <c r="I884" t="str">
        <f>IF(H884=0,"",IF(C884=C883,"",SUM($H$3:H884)))</f>
        <v/>
      </c>
    </row>
    <row r="885" spans="2:9">
      <c r="B885" s="164">
        <v>45888</v>
      </c>
      <c r="C885" t="s">
        <v>128</v>
      </c>
      <c r="D885">
        <v>2</v>
      </c>
      <c r="E885">
        <v>2080000</v>
      </c>
      <c r="F885">
        <v>71776677</v>
      </c>
      <c r="G885">
        <v>1000</v>
      </c>
      <c r="H885" t="str">
        <f>IF(C885=C884,"",COUNTIF(G885,1000)+COUNTIF(G885,2000))</f>
        <v/>
      </c>
      <c r="I885" t="str">
        <f>IF(H885=0,"",IF(C885=C884,"",SUM($H$3:H885)))</f>
        <v/>
      </c>
    </row>
    <row r="886" spans="2:9">
      <c r="B886" s="164">
        <v>45888</v>
      </c>
      <c r="C886" t="s">
        <v>128</v>
      </c>
      <c r="D886">
        <v>2</v>
      </c>
      <c r="E886">
        <v>2080000</v>
      </c>
      <c r="F886">
        <v>71776677</v>
      </c>
      <c r="G886">
        <v>1000</v>
      </c>
      <c r="H886" t="str">
        <f>IF(C886=C885,"",COUNTIF(G886,1000)+COUNTIF(G886,2000))</f>
        <v/>
      </c>
      <c r="I886" t="str">
        <f>IF(H886=0,"",IF(C886=C885,"",SUM($H$3:H886)))</f>
        <v/>
      </c>
    </row>
    <row r="887" spans="2:9">
      <c r="B887" s="164">
        <v>45888</v>
      </c>
      <c r="C887" t="s">
        <v>128</v>
      </c>
      <c r="D887">
        <v>2</v>
      </c>
      <c r="E887">
        <v>2080000</v>
      </c>
      <c r="F887">
        <v>71776677</v>
      </c>
      <c r="G887">
        <v>1000</v>
      </c>
      <c r="H887" t="str">
        <f>IF(C887=C886,"",COUNTIF(G887,1000)+COUNTIF(G887,2000))</f>
        <v/>
      </c>
      <c r="I887" t="str">
        <f>IF(H887=0,"",IF(C887=C886,"",SUM($H$3:H887)))</f>
        <v/>
      </c>
    </row>
    <row r="888" spans="2:9">
      <c r="B888" s="164">
        <v>45888</v>
      </c>
      <c r="C888" t="s">
        <v>128</v>
      </c>
      <c r="D888">
        <v>1</v>
      </c>
      <c r="E888">
        <v>2080000</v>
      </c>
      <c r="F888">
        <v>71776677</v>
      </c>
      <c r="G888">
        <v>1000</v>
      </c>
      <c r="H888" t="str">
        <f>IF(C888=C887,"",COUNTIF(G888,1000)+COUNTIF(G888,2000))</f>
        <v/>
      </c>
      <c r="I888" t="str">
        <f>IF(H888=0,"",IF(C888=C887,"",SUM($H$3:H888)))</f>
        <v/>
      </c>
    </row>
    <row r="889" spans="2:9">
      <c r="B889" s="164">
        <v>45888</v>
      </c>
      <c r="C889" t="s">
        <v>128</v>
      </c>
      <c r="D889">
        <v>2</v>
      </c>
      <c r="E889">
        <v>2080000</v>
      </c>
      <c r="F889">
        <v>71776677</v>
      </c>
      <c r="G889">
        <v>1000</v>
      </c>
      <c r="H889" t="str">
        <f>IF(C889=C888,"",COUNTIF(G889,1000)+COUNTIF(G889,2000))</f>
        <v/>
      </c>
      <c r="I889" t="str">
        <f>IF(H889=0,"",IF(C889=C888,"",SUM($H$3:H889)))</f>
        <v/>
      </c>
    </row>
    <row r="890" spans="2:9">
      <c r="B890" s="164">
        <v>45888</v>
      </c>
      <c r="C890" t="s">
        <v>128</v>
      </c>
      <c r="D890">
        <v>2</v>
      </c>
      <c r="E890">
        <v>2080000</v>
      </c>
      <c r="F890">
        <v>71776677</v>
      </c>
      <c r="G890">
        <v>1000</v>
      </c>
      <c r="H890" t="str">
        <f>IF(C890=C889,"",COUNTIF(G890,1000)+COUNTIF(G890,2000))</f>
        <v/>
      </c>
      <c r="I890" t="str">
        <f>IF(H890=0,"",IF(C890=C889,"",SUM($H$3:H890)))</f>
        <v/>
      </c>
    </row>
    <row r="891" spans="2:9">
      <c r="B891" s="164">
        <v>45888</v>
      </c>
      <c r="C891" t="s">
        <v>128</v>
      </c>
      <c r="D891">
        <v>2</v>
      </c>
      <c r="E891">
        <v>2080000</v>
      </c>
      <c r="F891">
        <v>71776677</v>
      </c>
      <c r="G891">
        <v>1000</v>
      </c>
      <c r="H891" t="str">
        <f>IF(C891=C890,"",COUNTIF(G891,1000)+COUNTIF(G891,2000))</f>
        <v/>
      </c>
      <c r="I891" t="str">
        <f>IF(H891=0,"",IF(C891=C890,"",SUM($H$3:H891)))</f>
        <v/>
      </c>
    </row>
    <row r="892" spans="2:9">
      <c r="B892" s="164">
        <v>45888</v>
      </c>
      <c r="C892" t="s">
        <v>128</v>
      </c>
      <c r="D892">
        <v>2</v>
      </c>
      <c r="E892">
        <v>2080000</v>
      </c>
      <c r="F892">
        <v>71776677</v>
      </c>
      <c r="G892">
        <v>1000</v>
      </c>
      <c r="H892" t="str">
        <f>IF(C892=C891,"",COUNTIF(G892,1000)+COUNTIF(G892,2000))</f>
        <v/>
      </c>
      <c r="I892" t="str">
        <f>IF(H892=0,"",IF(C892=C891,"",SUM($H$3:H892)))</f>
        <v/>
      </c>
    </row>
    <row r="893" spans="2:9">
      <c r="B893" s="164">
        <v>45888</v>
      </c>
      <c r="C893" t="s">
        <v>128</v>
      </c>
      <c r="D893">
        <v>2</v>
      </c>
      <c r="E893">
        <v>2080000</v>
      </c>
      <c r="F893">
        <v>71776677</v>
      </c>
      <c r="G893">
        <v>1000</v>
      </c>
      <c r="H893" t="str">
        <f>IF(C893=C892,"",COUNTIF(G893,1000)+COUNTIF(G893,2000))</f>
        <v/>
      </c>
      <c r="I893" t="str">
        <f>IF(H893=0,"",IF(C893=C892,"",SUM($H$3:H893)))</f>
        <v/>
      </c>
    </row>
    <row r="894" spans="2:9">
      <c r="B894" s="164">
        <v>45888</v>
      </c>
      <c r="C894" t="s">
        <v>128</v>
      </c>
      <c r="D894">
        <v>2</v>
      </c>
      <c r="E894">
        <v>2080000</v>
      </c>
      <c r="F894">
        <v>71776677</v>
      </c>
      <c r="G894">
        <v>1000</v>
      </c>
      <c r="H894" t="str">
        <f>IF(C894=C893,"",COUNTIF(G894,1000)+COUNTIF(G894,2000))</f>
        <v/>
      </c>
      <c r="I894" t="str">
        <f>IF(H894=0,"",IF(C894=C893,"",SUM($H$3:H894)))</f>
        <v/>
      </c>
    </row>
    <row r="895" spans="2:9">
      <c r="B895" s="164">
        <v>45888</v>
      </c>
      <c r="C895" t="s">
        <v>128</v>
      </c>
      <c r="D895">
        <v>2</v>
      </c>
      <c r="E895">
        <v>2080000</v>
      </c>
      <c r="F895">
        <v>71776677</v>
      </c>
      <c r="G895">
        <v>1000</v>
      </c>
      <c r="H895" t="str">
        <f>IF(C895=C894,"",COUNTIF(G895,1000)+COUNTIF(G895,2000))</f>
        <v/>
      </c>
      <c r="I895" t="str">
        <f>IF(H895=0,"",IF(C895=C894,"",SUM($H$3:H895)))</f>
        <v/>
      </c>
    </row>
    <row r="896" spans="2:9">
      <c r="B896" s="164">
        <v>45888</v>
      </c>
      <c r="C896" t="s">
        <v>128</v>
      </c>
      <c r="D896">
        <v>2</v>
      </c>
      <c r="E896">
        <v>2080000</v>
      </c>
      <c r="F896">
        <v>71776677</v>
      </c>
      <c r="G896">
        <v>1000</v>
      </c>
      <c r="H896" t="str">
        <f>IF(C896=C895,"",COUNTIF(G896,1000)+COUNTIF(G896,2000))</f>
        <v/>
      </c>
      <c r="I896" t="str">
        <f>IF(H896=0,"",IF(C896=C895,"",SUM($H$3:H896)))</f>
        <v/>
      </c>
    </row>
    <row r="897" spans="2:9">
      <c r="B897" s="164">
        <v>45888</v>
      </c>
      <c r="C897" t="s">
        <v>128</v>
      </c>
      <c r="D897">
        <v>2</v>
      </c>
      <c r="E897">
        <v>2080000</v>
      </c>
      <c r="F897">
        <v>71776677</v>
      </c>
      <c r="G897">
        <v>1000</v>
      </c>
      <c r="H897" t="str">
        <f>IF(C897=C896,"",COUNTIF(G897,1000)+COUNTIF(G897,2000))</f>
        <v/>
      </c>
      <c r="I897" t="str">
        <f>IF(H897=0,"",IF(C897=C896,"",SUM($H$3:H897)))</f>
        <v/>
      </c>
    </row>
    <row r="898" spans="2:9">
      <c r="B898" s="164">
        <v>45888</v>
      </c>
      <c r="C898" t="s">
        <v>128</v>
      </c>
      <c r="D898">
        <v>2</v>
      </c>
      <c r="E898">
        <v>2080000</v>
      </c>
      <c r="F898">
        <v>71776677</v>
      </c>
      <c r="G898">
        <v>1000</v>
      </c>
      <c r="H898" t="str">
        <f>IF(C898=C897,"",COUNTIF(G898,1000)+COUNTIF(G898,2000))</f>
        <v/>
      </c>
      <c r="I898" t="str">
        <f>IF(H898=0,"",IF(C898=C897,"",SUM($H$3:H898)))</f>
        <v/>
      </c>
    </row>
    <row r="899" spans="2:9">
      <c r="B899" s="164">
        <v>45888</v>
      </c>
      <c r="C899" t="s">
        <v>128</v>
      </c>
      <c r="D899">
        <v>3</v>
      </c>
      <c r="E899">
        <v>2080000</v>
      </c>
      <c r="F899">
        <v>71776677</v>
      </c>
      <c r="G899">
        <v>1000</v>
      </c>
      <c r="H899" t="str">
        <f>IF(C899=C898,"",COUNTIF(G899,1000)+COUNTIF(G899,2000))</f>
        <v/>
      </c>
      <c r="I899" t="str">
        <f>IF(H899=0,"",IF(C899=C898,"",SUM($H$3:H899)))</f>
        <v/>
      </c>
    </row>
    <row r="900" spans="2:9">
      <c r="B900" s="164">
        <v>45888</v>
      </c>
      <c r="C900" t="s">
        <v>128</v>
      </c>
      <c r="D900">
        <v>3</v>
      </c>
      <c r="E900">
        <v>2080000</v>
      </c>
      <c r="F900">
        <v>71776677</v>
      </c>
      <c r="G900">
        <v>1000</v>
      </c>
      <c r="H900" t="str">
        <f>IF(C900=C899,"",COUNTIF(G900,1000)+COUNTIF(G900,2000))</f>
        <v/>
      </c>
      <c r="I900" t="str">
        <f>IF(H900=0,"",IF(C900=C899,"",SUM($H$3:H900)))</f>
        <v/>
      </c>
    </row>
    <row r="901" spans="2:9">
      <c r="B901" s="164">
        <v>45888</v>
      </c>
      <c r="C901" t="s">
        <v>128</v>
      </c>
      <c r="D901">
        <v>3</v>
      </c>
      <c r="E901">
        <v>2080000</v>
      </c>
      <c r="F901">
        <v>71776677</v>
      </c>
      <c r="G901">
        <v>1000</v>
      </c>
      <c r="H901" t="str">
        <f>IF(C901=C900,"",COUNTIF(G901,1000)+COUNTIF(G901,2000))</f>
        <v/>
      </c>
      <c r="I901" t="str">
        <f>IF(H901=0,"",IF(C901=C900,"",SUM($H$3:H901)))</f>
        <v/>
      </c>
    </row>
    <row r="902" spans="2:9">
      <c r="B902" s="164">
        <v>45888</v>
      </c>
      <c r="C902" t="s">
        <v>128</v>
      </c>
      <c r="D902">
        <v>1</v>
      </c>
      <c r="E902">
        <v>2080000</v>
      </c>
      <c r="F902">
        <v>71776677</v>
      </c>
      <c r="G902">
        <v>1000</v>
      </c>
      <c r="H902" t="str">
        <f>IF(C902=C901,"",COUNTIF(G902,1000)+COUNTIF(G902,2000))</f>
        <v/>
      </c>
      <c r="I902" t="str">
        <f>IF(H902=0,"",IF(C902=C901,"",SUM($H$3:H902)))</f>
        <v/>
      </c>
    </row>
    <row r="903" spans="2:9">
      <c r="B903" s="164">
        <v>45888</v>
      </c>
      <c r="C903" t="s">
        <v>128</v>
      </c>
      <c r="D903">
        <v>1</v>
      </c>
      <c r="E903">
        <v>2080000</v>
      </c>
      <c r="F903">
        <v>71776677</v>
      </c>
      <c r="G903">
        <v>1000</v>
      </c>
      <c r="H903" t="str">
        <f>IF(C903=C902,"",COUNTIF(G903,1000)+COUNTIF(G903,2000))</f>
        <v/>
      </c>
      <c r="I903" t="str">
        <f>IF(H903=0,"",IF(C903=C902,"",SUM($H$3:H903)))</f>
        <v/>
      </c>
    </row>
    <row r="904" spans="2:9">
      <c r="B904" s="164">
        <v>45888</v>
      </c>
      <c r="C904" t="s">
        <v>128</v>
      </c>
      <c r="D904">
        <v>1</v>
      </c>
      <c r="E904">
        <v>2080000</v>
      </c>
      <c r="F904">
        <v>71776677</v>
      </c>
      <c r="G904">
        <v>1000</v>
      </c>
      <c r="H904" t="str">
        <f>IF(C904=C903,"",COUNTIF(G904,1000)+COUNTIF(G904,2000))</f>
        <v/>
      </c>
      <c r="I904" t="str">
        <f>IF(H904=0,"",IF(C904=C903,"",SUM($H$3:H904)))</f>
        <v/>
      </c>
    </row>
    <row r="905" spans="2:9">
      <c r="B905" s="164">
        <v>45888</v>
      </c>
      <c r="C905" t="s">
        <v>128</v>
      </c>
      <c r="D905">
        <v>1</v>
      </c>
      <c r="E905">
        <v>2080000</v>
      </c>
      <c r="F905">
        <v>71776677</v>
      </c>
      <c r="G905">
        <v>1000</v>
      </c>
      <c r="H905" t="str">
        <f>IF(C905=C904,"",COUNTIF(G905,1000)+COUNTIF(G905,2000))</f>
        <v/>
      </c>
      <c r="I905" t="str">
        <f>IF(H905=0,"",IF(C905=C904,"",SUM($H$3:H905)))</f>
        <v/>
      </c>
    </row>
    <row r="906" spans="2:9">
      <c r="B906" s="164">
        <v>45888</v>
      </c>
      <c r="C906" t="s">
        <v>128</v>
      </c>
      <c r="D906">
        <v>1</v>
      </c>
      <c r="E906">
        <v>2080000</v>
      </c>
      <c r="F906">
        <v>71776677</v>
      </c>
      <c r="G906">
        <v>1000</v>
      </c>
      <c r="H906" t="str">
        <f>IF(C906=C905,"",COUNTIF(G906,1000)+COUNTIF(G906,2000))</f>
        <v/>
      </c>
      <c r="I906" t="str">
        <f>IF(H906=0,"",IF(C906=C905,"",SUM($H$3:H906)))</f>
        <v/>
      </c>
    </row>
    <row r="907" spans="2:9">
      <c r="B907" s="164">
        <v>45888</v>
      </c>
      <c r="C907" t="s">
        <v>128</v>
      </c>
      <c r="D907">
        <v>1</v>
      </c>
      <c r="E907">
        <v>2080000</v>
      </c>
      <c r="F907">
        <v>71776677</v>
      </c>
      <c r="G907">
        <v>1000</v>
      </c>
      <c r="H907" t="str">
        <f>IF(C907=C906,"",COUNTIF(G907,1000)+COUNTIF(G907,2000))</f>
        <v/>
      </c>
      <c r="I907" t="str">
        <f>IF(H907=0,"",IF(C907=C906,"",SUM($H$3:H907)))</f>
        <v/>
      </c>
    </row>
    <row r="908" spans="2:9">
      <c r="B908" s="164">
        <v>45888</v>
      </c>
      <c r="C908" t="s">
        <v>128</v>
      </c>
      <c r="D908">
        <v>1</v>
      </c>
      <c r="E908">
        <v>2080000</v>
      </c>
      <c r="F908">
        <v>71776677</v>
      </c>
      <c r="G908">
        <v>1000</v>
      </c>
      <c r="H908" t="str">
        <f>IF(C908=C907,"",COUNTIF(G908,1000)+COUNTIF(G908,2000))</f>
        <v/>
      </c>
      <c r="I908" t="str">
        <f>IF(H908=0,"",IF(C908=C907,"",SUM($H$3:H908)))</f>
        <v/>
      </c>
    </row>
    <row r="909" spans="2:9">
      <c r="B909" s="164">
        <v>45888</v>
      </c>
      <c r="C909" t="s">
        <v>128</v>
      </c>
      <c r="D909">
        <v>1</v>
      </c>
      <c r="E909">
        <v>2080000</v>
      </c>
      <c r="F909">
        <v>71776677</v>
      </c>
      <c r="G909">
        <v>1000</v>
      </c>
      <c r="H909" t="str">
        <f>IF(C909=C908,"",COUNTIF(G909,1000)+COUNTIF(G909,2000))</f>
        <v/>
      </c>
      <c r="I909" t="str">
        <f>IF(H909=0,"",IF(C909=C908,"",SUM($H$3:H909)))</f>
        <v/>
      </c>
    </row>
    <row r="910" spans="2:9">
      <c r="B910" s="164">
        <v>45888</v>
      </c>
      <c r="C910" t="s">
        <v>128</v>
      </c>
      <c r="D910">
        <v>1</v>
      </c>
      <c r="E910">
        <v>2080000</v>
      </c>
      <c r="F910">
        <v>71776677</v>
      </c>
      <c r="G910">
        <v>1000</v>
      </c>
      <c r="H910" t="str">
        <f>IF(C910=C909,"",COUNTIF(G910,1000)+COUNTIF(G910,2000))</f>
        <v/>
      </c>
      <c r="I910" t="str">
        <f>IF(H910=0,"",IF(C910=C909,"",SUM($H$3:H910)))</f>
        <v/>
      </c>
    </row>
    <row r="911" spans="2:9">
      <c r="B911" s="164">
        <v>45888</v>
      </c>
      <c r="C911" t="s">
        <v>128</v>
      </c>
      <c r="D911">
        <v>2</v>
      </c>
      <c r="E911">
        <v>2080000</v>
      </c>
      <c r="F911">
        <v>71776677</v>
      </c>
      <c r="G911">
        <v>1000</v>
      </c>
      <c r="H911" t="str">
        <f>IF(C911=C910,"",COUNTIF(G911,1000)+COUNTIF(G911,2000))</f>
        <v/>
      </c>
      <c r="I911" t="str">
        <f>IF(H911=0,"",IF(C911=C910,"",SUM($H$3:H911)))</f>
        <v/>
      </c>
    </row>
    <row r="912" spans="2:9">
      <c r="B912" s="164">
        <v>45888</v>
      </c>
      <c r="C912" t="s">
        <v>128</v>
      </c>
      <c r="D912">
        <v>2</v>
      </c>
      <c r="E912">
        <v>2080000</v>
      </c>
      <c r="F912">
        <v>71776677</v>
      </c>
      <c r="G912">
        <v>1000</v>
      </c>
      <c r="H912" t="str">
        <f>IF(C912=C911,"",COUNTIF(G912,1000)+COUNTIF(G912,2000))</f>
        <v/>
      </c>
      <c r="I912" t="str">
        <f>IF(H912=0,"",IF(C912=C911,"",SUM($H$3:H912)))</f>
        <v/>
      </c>
    </row>
    <row r="913" spans="2:9">
      <c r="B913" s="164">
        <v>45888</v>
      </c>
      <c r="C913" t="s">
        <v>128</v>
      </c>
      <c r="D913">
        <v>2</v>
      </c>
      <c r="E913">
        <v>2080000</v>
      </c>
      <c r="F913">
        <v>71776677</v>
      </c>
      <c r="G913">
        <v>1000</v>
      </c>
      <c r="H913" t="str">
        <f>IF(C913=C912,"",COUNTIF(G913,1000)+COUNTIF(G913,2000))</f>
        <v/>
      </c>
      <c r="I913" t="str">
        <f>IF(H913=0,"",IF(C913=C912,"",SUM($H$3:H913)))</f>
        <v/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indexed="11"/>
  </sheetPr>
  <dimension ref="A3:Y40"/>
  <sheetViews>
    <sheetView showGridLines="0" view="pageBreakPreview" zoomScaleNormal="100" zoomScaleSheetLayoutView="100" workbookViewId="0">
      <selection activeCell="H23" sqref="H23"/>
    </sheetView>
  </sheetViews>
  <sheetFormatPr defaultRowHeight="14.25"/>
  <cols>
    <col min="1" max="1" width="1.625" style="1" customWidth="1"/>
    <col min="2" max="3" width="4.125" style="1" customWidth="1"/>
    <col min="4" max="4" width="23.375" style="1" customWidth="1"/>
    <col min="5" max="5" width="5.875" style="1" customWidth="1"/>
    <col min="6" max="6" width="6.25" style="1" customWidth="1"/>
    <col min="7" max="7" width="1.25" style="1" customWidth="1"/>
    <col min="8" max="8" width="11.625" style="1" customWidth="1"/>
    <col min="9" max="9" width="1.875" style="1" customWidth="1"/>
    <col min="10" max="10" width="11.25" style="1" customWidth="1"/>
    <col min="11" max="11" width="0.75" style="1" customWidth="1"/>
    <col min="12" max="12" width="18.75" style="1" customWidth="1"/>
    <col min="13" max="13" width="1.625" style="1" customWidth="1"/>
    <col min="14" max="14" width="4.125" style="1" customWidth="1"/>
    <col min="15" max="15" width="6.5" style="1" bestFit="1" customWidth="1"/>
    <col min="16" max="16" width="20.875" style="1" customWidth="1"/>
    <col min="17" max="17" width="5.875" style="1" customWidth="1"/>
    <col min="18" max="18" width="11.625" style="1" customWidth="1"/>
    <col min="19" max="19" width="11.25" style="1" customWidth="1"/>
    <col min="20" max="20" width="17.5" style="1" customWidth="1"/>
    <col min="21" max="65" width="9" style="1"/>
    <col min="66" max="68" width="9.125" style="1" bestFit="1" customWidth="1"/>
    <col min="69" max="69" width="10.5" style="1" bestFit="1" customWidth="1"/>
    <col min="70" max="137" width="9" style="1"/>
    <col min="138" max="139" width="9.125" style="1" bestFit="1" customWidth="1"/>
    <col min="140" max="140" width="10.5" style="1" bestFit="1" customWidth="1"/>
    <col min="141" max="146" width="9" style="1"/>
    <col min="147" max="148" width="9.125" style="1" bestFit="1" customWidth="1"/>
    <col min="149" max="149" width="11.625" style="1" bestFit="1" customWidth="1"/>
    <col min="150" max="16384" width="9" style="1"/>
  </cols>
  <sheetData>
    <row r="3" spans="1:14" ht="18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s="49" customFormat="1" ht="30" customHeight="1">
      <c r="A4" s="174" t="s">
        <v>1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N4" s="50"/>
    </row>
    <row r="5" spans="1:14" s="49" customFormat="1" ht="10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4" s="49" customFormat="1" ht="14.2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 s="49" customFormat="1" ht="18" customHeight="1">
      <c r="B7" s="50"/>
      <c r="C7" s="51"/>
      <c r="D7" s="50"/>
      <c r="E7" s="50"/>
      <c r="F7" s="50"/>
      <c r="G7" s="50"/>
      <c r="H7" s="50"/>
      <c r="I7" s="50"/>
      <c r="J7" s="52" t="s">
        <v>19</v>
      </c>
      <c r="K7" s="50"/>
      <c r="L7" s="158">
        <v>250803</v>
      </c>
      <c r="N7" s="99" t="s">
        <v>60</v>
      </c>
    </row>
    <row r="8" spans="1:14" s="49" customFormat="1" ht="17.25">
      <c r="B8" s="50"/>
      <c r="C8" s="48"/>
      <c r="D8" s="50"/>
      <c r="E8" s="50"/>
      <c r="F8" s="50"/>
      <c r="G8" s="50"/>
      <c r="H8" s="50"/>
      <c r="I8" s="50"/>
      <c r="J8" s="180">
        <v>45900</v>
      </c>
      <c r="K8" s="180"/>
      <c r="L8" s="180"/>
      <c r="N8" s="98" t="s">
        <v>61</v>
      </c>
    </row>
    <row r="9" spans="1:14" s="49" customFormat="1" ht="18" customHeight="1">
      <c r="B9" s="50"/>
      <c r="C9" s="50"/>
      <c r="D9" s="56"/>
      <c r="E9" s="50"/>
      <c r="F9" s="50"/>
      <c r="G9" s="50"/>
      <c r="H9" s="50"/>
      <c r="I9" s="50"/>
      <c r="J9" s="51"/>
      <c r="K9" s="51"/>
      <c r="L9" s="50"/>
      <c r="N9" s="50"/>
    </row>
    <row r="10" spans="1:14" s="49" customFormat="1" ht="10.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s="49" customFormat="1" ht="20.25" customHeight="1">
      <c r="B11" s="50"/>
      <c r="C11" s="48" t="s">
        <v>9</v>
      </c>
      <c r="D11" s="64"/>
      <c r="F11" s="54" t="s">
        <v>2</v>
      </c>
      <c r="G11" s="54"/>
      <c r="J11" s="178"/>
      <c r="K11" s="178"/>
      <c r="L11" s="178"/>
      <c r="N11" s="50"/>
    </row>
    <row r="12" spans="1:14" s="49" customFormat="1" ht="6" customHeight="1">
      <c r="B12" s="50"/>
      <c r="C12" s="58"/>
      <c r="D12" s="58"/>
      <c r="E12" s="58"/>
      <c r="F12" s="58"/>
      <c r="G12" s="50"/>
      <c r="H12" s="59"/>
      <c r="I12" s="59"/>
      <c r="J12" s="50"/>
      <c r="K12" s="50"/>
      <c r="L12" s="50"/>
      <c r="N12" s="50"/>
    </row>
    <row r="13" spans="1:14" s="49" customFormat="1" ht="30" customHeight="1">
      <c r="A13" s="50"/>
      <c r="B13" s="50"/>
      <c r="C13" s="50"/>
      <c r="D13" s="50"/>
      <c r="E13" s="50"/>
      <c r="F13" s="50"/>
      <c r="G13" s="50"/>
      <c r="H13" s="179"/>
      <c r="I13" s="179"/>
      <c r="J13" s="179"/>
      <c r="K13" s="179"/>
      <c r="L13" s="179"/>
      <c r="M13" s="50"/>
      <c r="N13" s="50"/>
    </row>
    <row r="14" spans="1:14" s="49" customFormat="1" ht="13.5" customHeight="1">
      <c r="B14" s="50"/>
      <c r="C14" s="50"/>
      <c r="D14" s="50"/>
      <c r="E14" s="50"/>
      <c r="F14" s="50"/>
      <c r="G14" s="50"/>
      <c r="H14" s="61"/>
      <c r="I14" s="61"/>
      <c r="J14" s="81" t="s">
        <v>22</v>
      </c>
      <c r="K14" s="60"/>
      <c r="L14" s="60" t="s">
        <v>23</v>
      </c>
      <c r="N14" s="50"/>
    </row>
    <row r="15" spans="1:14" s="49" customFormat="1" ht="13.5" customHeight="1">
      <c r="B15" s="50"/>
      <c r="C15" s="50"/>
      <c r="D15" s="50"/>
      <c r="E15" s="50"/>
      <c r="F15" s="50"/>
      <c r="G15" s="50"/>
      <c r="H15" s="61"/>
      <c r="I15" s="61"/>
      <c r="J15" s="81" t="s">
        <v>24</v>
      </c>
      <c r="K15" s="60"/>
      <c r="L15" s="60" t="s">
        <v>25</v>
      </c>
      <c r="N15" s="50"/>
    </row>
    <row r="16" spans="1:14" s="49" customFormat="1" ht="13.5" customHeight="1">
      <c r="B16" s="50"/>
      <c r="C16" s="50"/>
      <c r="D16" s="50"/>
      <c r="E16" s="50"/>
      <c r="F16" s="50"/>
      <c r="G16" s="50"/>
      <c r="H16" s="61"/>
      <c r="I16" s="61"/>
      <c r="J16" s="81"/>
      <c r="K16" s="81"/>
      <c r="L16" s="81"/>
      <c r="N16" s="50"/>
    </row>
    <row r="17" spans="1:25" s="49" customFormat="1" ht="24" customHeight="1">
      <c r="B17" s="50"/>
      <c r="C17" s="51" t="s">
        <v>3</v>
      </c>
      <c r="D17" s="50"/>
      <c r="E17" s="50"/>
      <c r="F17" s="50"/>
      <c r="G17" s="50"/>
      <c r="H17" s="50"/>
      <c r="I17" s="50"/>
      <c r="J17" s="50"/>
      <c r="K17" s="50"/>
      <c r="L17" s="50"/>
      <c r="N17" s="50"/>
    </row>
    <row r="18" spans="1:25" s="49" customFormat="1" ht="27.75" customHeight="1">
      <c r="A18" s="50"/>
      <c r="B18" s="50"/>
      <c r="C18" s="50"/>
      <c r="D18" s="50"/>
      <c r="E18" s="50"/>
      <c r="F18" s="50"/>
      <c r="G18" s="50"/>
      <c r="H18" s="62"/>
      <c r="I18" s="62"/>
      <c r="J18" s="62"/>
      <c r="K18" s="62"/>
      <c r="L18" s="63"/>
      <c r="M18" s="50"/>
      <c r="N18" s="50"/>
    </row>
    <row r="19" spans="1:25" s="49" customFormat="1" ht="15.75" customHeight="1">
      <c r="A19" s="50"/>
      <c r="B19" s="50"/>
      <c r="C19" s="50"/>
      <c r="D19" s="50"/>
      <c r="E19" s="50"/>
      <c r="F19" s="50"/>
      <c r="G19" s="50"/>
      <c r="H19" s="62"/>
      <c r="I19" s="62"/>
      <c r="J19" s="154"/>
      <c r="K19" s="154"/>
      <c r="L19" s="155"/>
      <c r="M19" s="50"/>
      <c r="N19" s="50"/>
    </row>
    <row r="20" spans="1:25" ht="29.1" customHeight="1">
      <c r="B20" s="21" t="s">
        <v>4</v>
      </c>
      <c r="C20" s="22" t="s">
        <v>5</v>
      </c>
      <c r="D20" s="22" t="s">
        <v>6</v>
      </c>
      <c r="E20" s="22" t="s">
        <v>12</v>
      </c>
      <c r="F20" s="181" t="s">
        <v>0</v>
      </c>
      <c r="G20" s="182"/>
      <c r="H20" s="181" t="s">
        <v>14</v>
      </c>
      <c r="I20" s="182"/>
      <c r="J20" s="181" t="s">
        <v>16</v>
      </c>
      <c r="K20" s="182"/>
      <c r="L20" s="20" t="s">
        <v>15</v>
      </c>
      <c r="N20" s="8"/>
    </row>
    <row r="21" spans="1:25" ht="29.1" customHeight="1">
      <c r="B21" s="172" t="s">
        <v>118</v>
      </c>
      <c r="C21" s="173"/>
      <c r="D21" s="44" t="s">
        <v>17</v>
      </c>
      <c r="E21" s="44"/>
      <c r="F21" s="45"/>
      <c r="G21" s="46"/>
      <c r="H21" s="80"/>
      <c r="I21" s="46"/>
      <c r="J21" s="45"/>
      <c r="K21" s="46"/>
      <c r="L21" s="47"/>
      <c r="N21" s="8" t="s">
        <v>45</v>
      </c>
    </row>
    <row r="22" spans="1:25" ht="50.25" customHeight="1">
      <c r="A22" s="2"/>
      <c r="B22" s="26">
        <v>8</v>
      </c>
      <c r="C22" s="70">
        <v>8</v>
      </c>
      <c r="D22" s="43" t="s">
        <v>119</v>
      </c>
      <c r="E22" s="69" t="s">
        <v>48</v>
      </c>
      <c r="F22" s="36"/>
      <c r="G22" s="42"/>
      <c r="H22" s="71">
        <v>90000</v>
      </c>
      <c r="I22" s="74"/>
      <c r="J22" s="73"/>
      <c r="K22" s="75"/>
      <c r="L22" s="72">
        <v>355500</v>
      </c>
      <c r="M22" s="2"/>
      <c r="N22" s="10" t="s">
        <v>44</v>
      </c>
      <c r="R22" s="124">
        <v>45414</v>
      </c>
      <c r="S22" s="123" t="s">
        <v>13</v>
      </c>
      <c r="T22" s="123">
        <v>81195303000</v>
      </c>
      <c r="U22" s="1" t="s">
        <v>108</v>
      </c>
    </row>
    <row r="23" spans="1:25" ht="50.25" customHeight="1">
      <c r="A23" s="2"/>
      <c r="B23" s="26"/>
      <c r="C23" s="70">
        <v>19</v>
      </c>
      <c r="D23" s="43" t="s">
        <v>121</v>
      </c>
      <c r="E23" s="69" t="s">
        <v>47</v>
      </c>
      <c r="F23" s="36"/>
      <c r="G23" s="42"/>
      <c r="H23" s="71">
        <v>700000</v>
      </c>
      <c r="I23" s="74"/>
      <c r="J23" s="73"/>
      <c r="K23" s="75"/>
      <c r="L23" s="72">
        <v>2415500</v>
      </c>
      <c r="M23" s="2"/>
      <c r="N23" s="10"/>
      <c r="R23" s="124">
        <v>45425</v>
      </c>
      <c r="S23" s="123" t="s">
        <v>48</v>
      </c>
      <c r="T23" s="123">
        <v>81195475640</v>
      </c>
      <c r="U23" s="1" t="s">
        <v>109</v>
      </c>
    </row>
    <row r="24" spans="1:25" ht="50.25" customHeight="1">
      <c r="A24" s="2"/>
      <c r="B24" s="26"/>
      <c r="C24" s="70"/>
      <c r="D24" s="43"/>
      <c r="E24" s="69"/>
      <c r="F24" s="36"/>
      <c r="G24" s="42"/>
      <c r="H24" s="71"/>
      <c r="I24" s="74"/>
      <c r="J24" s="73"/>
      <c r="K24" s="75"/>
      <c r="L24" s="72"/>
      <c r="M24" s="2"/>
      <c r="N24" s="10"/>
      <c r="R24" s="124">
        <v>45429</v>
      </c>
      <c r="S24" s="123" t="s">
        <v>13</v>
      </c>
      <c r="T24" s="123">
        <v>81195629420</v>
      </c>
      <c r="U24" s="1" t="s">
        <v>110</v>
      </c>
    </row>
    <row r="25" spans="1:25" ht="50.25" customHeight="1">
      <c r="A25" s="2"/>
      <c r="B25" s="26"/>
      <c r="C25" s="70"/>
      <c r="D25" s="43"/>
      <c r="E25" s="69"/>
      <c r="F25" s="36"/>
      <c r="G25" s="42"/>
      <c r="H25" s="71"/>
      <c r="I25" s="74"/>
      <c r="J25" s="73"/>
      <c r="K25" s="75"/>
      <c r="L25" s="72"/>
      <c r="M25" s="2"/>
      <c r="N25" s="10"/>
      <c r="R25" s="124">
        <v>45433</v>
      </c>
      <c r="S25" s="123" t="s">
        <v>48</v>
      </c>
      <c r="T25" s="123">
        <v>81195674550</v>
      </c>
      <c r="U25" s="1" t="s">
        <v>111</v>
      </c>
    </row>
    <row r="26" spans="1:25" ht="40.5" customHeight="1">
      <c r="A26" s="2"/>
      <c r="B26" s="26"/>
      <c r="C26" s="70"/>
      <c r="D26" s="43"/>
      <c r="E26" s="69"/>
      <c r="F26" s="36"/>
      <c r="G26" s="42"/>
      <c r="H26" s="71"/>
      <c r="I26" s="74"/>
      <c r="J26" s="73"/>
      <c r="K26" s="75"/>
      <c r="L26" s="72"/>
      <c r="M26" s="2"/>
      <c r="N26" s="10"/>
      <c r="R26" s="124">
        <v>45435</v>
      </c>
      <c r="S26" s="123" t="s">
        <v>48</v>
      </c>
      <c r="T26" s="123">
        <v>81195746100</v>
      </c>
      <c r="U26" s="1" t="s">
        <v>111</v>
      </c>
    </row>
    <row r="27" spans="1:25" ht="40.5" customHeight="1">
      <c r="A27" s="2"/>
      <c r="B27" s="26"/>
      <c r="C27" s="27"/>
      <c r="D27" s="33"/>
      <c r="E27" s="23"/>
      <c r="F27" s="35"/>
      <c r="G27" s="39"/>
      <c r="H27" s="71"/>
      <c r="I27" s="24"/>
      <c r="J27" s="25"/>
      <c r="K27" s="30"/>
      <c r="L27" s="72"/>
      <c r="M27" s="2"/>
      <c r="N27" s="10"/>
    </row>
    <row r="28" spans="1:25" ht="40.5" customHeight="1">
      <c r="A28" s="2"/>
      <c r="B28" s="26"/>
      <c r="C28" s="27"/>
      <c r="D28" s="33"/>
      <c r="E28" s="23"/>
      <c r="F28" s="35"/>
      <c r="G28" s="39"/>
      <c r="H28" s="71"/>
      <c r="I28" s="24"/>
      <c r="J28" s="25"/>
      <c r="K28" s="30"/>
      <c r="L28" s="72"/>
      <c r="M28" s="2"/>
      <c r="N28" s="10"/>
    </row>
    <row r="29" spans="1:25" ht="40.5" customHeight="1">
      <c r="A29" s="2"/>
      <c r="B29" s="26"/>
      <c r="C29" s="27"/>
      <c r="D29" s="33"/>
      <c r="E29" s="23"/>
      <c r="F29" s="35"/>
      <c r="G29" s="39"/>
      <c r="H29" s="71"/>
      <c r="I29" s="24"/>
      <c r="J29" s="25"/>
      <c r="K29" s="30"/>
      <c r="L29" s="72"/>
      <c r="M29" s="2"/>
      <c r="N29" s="10"/>
    </row>
    <row r="30" spans="1:25" ht="40.5" customHeight="1">
      <c r="A30" s="2"/>
      <c r="B30" s="26"/>
      <c r="C30" s="27"/>
      <c r="D30" s="33"/>
      <c r="E30" s="23"/>
      <c r="F30" s="35"/>
      <c r="G30" s="39"/>
      <c r="H30" s="71"/>
      <c r="I30" s="24"/>
      <c r="J30" s="25"/>
      <c r="K30" s="30"/>
      <c r="L30" s="72"/>
      <c r="M30" s="2"/>
      <c r="N30" s="10"/>
    </row>
    <row r="31" spans="1:25" ht="40.5" customHeight="1">
      <c r="A31" s="2"/>
      <c r="B31" s="26"/>
      <c r="C31" s="27"/>
      <c r="D31" s="33"/>
      <c r="E31" s="23"/>
      <c r="F31" s="35"/>
      <c r="G31" s="39"/>
      <c r="H31" s="71"/>
      <c r="I31" s="24"/>
      <c r="J31" s="25"/>
      <c r="K31" s="30"/>
      <c r="L31" s="72"/>
      <c r="M31" s="2"/>
      <c r="N31" s="10"/>
      <c r="O31" s="15"/>
      <c r="P31" s="11"/>
      <c r="Q31" s="8"/>
      <c r="R31" s="12"/>
      <c r="S31" s="13"/>
      <c r="T31" s="14"/>
      <c r="U31" s="2"/>
      <c r="V31" s="10"/>
      <c r="W31" s="15"/>
      <c r="X31" s="16"/>
      <c r="Y31" s="8"/>
    </row>
    <row r="32" spans="1:25" ht="40.5" customHeight="1">
      <c r="B32" s="175" t="s">
        <v>7</v>
      </c>
      <c r="C32" s="176"/>
      <c r="D32" s="176"/>
      <c r="E32" s="177"/>
      <c r="F32" s="41"/>
      <c r="G32" s="38"/>
      <c r="H32" s="78">
        <f>SUM(H21:H31)</f>
        <v>790000</v>
      </c>
      <c r="I32" s="34" t="s">
        <v>18</v>
      </c>
      <c r="J32" s="29"/>
      <c r="K32" s="31"/>
      <c r="L32" s="79">
        <f>SUM(L22:L31)</f>
        <v>2771000</v>
      </c>
      <c r="N32" s="168"/>
      <c r="O32" s="169"/>
      <c r="P32" s="169"/>
      <c r="Q32" s="169"/>
      <c r="R32" s="12"/>
      <c r="S32" s="13"/>
      <c r="T32" s="14"/>
      <c r="V32" s="168"/>
      <c r="W32" s="169"/>
      <c r="X32" s="169"/>
      <c r="Y32" s="169"/>
    </row>
    <row r="33" spans="1:25" s="49" customFormat="1" ht="14.25" customHeight="1">
      <c r="B33" s="65"/>
      <c r="C33" s="50"/>
      <c r="D33" s="50"/>
      <c r="E33" s="50"/>
      <c r="F33" s="50"/>
      <c r="G33" s="50"/>
      <c r="H33" s="62"/>
      <c r="I33" s="62"/>
      <c r="J33" s="62"/>
      <c r="K33" s="62"/>
      <c r="L33" s="63"/>
      <c r="N33" s="65"/>
      <c r="O33" s="50"/>
      <c r="P33" s="50"/>
      <c r="Q33" s="50"/>
      <c r="R33" s="62"/>
      <c r="S33" s="62"/>
      <c r="T33" s="63"/>
      <c r="V33" s="65"/>
      <c r="W33" s="50"/>
      <c r="X33" s="50"/>
      <c r="Y33" s="50"/>
    </row>
    <row r="34" spans="1:25" s="49" customFormat="1" ht="20.25" customHeight="1">
      <c r="B34" s="60" t="s">
        <v>113</v>
      </c>
      <c r="C34" s="50"/>
      <c r="D34" s="50"/>
      <c r="E34" s="50"/>
      <c r="G34" s="92"/>
      <c r="H34" s="170" t="s">
        <v>42</v>
      </c>
      <c r="I34" s="170"/>
      <c r="J34" s="170"/>
      <c r="K34" s="171">
        <v>45992</v>
      </c>
      <c r="L34" s="171"/>
      <c r="M34" s="91"/>
      <c r="N34" s="100" t="s">
        <v>62</v>
      </c>
      <c r="O34" s="50"/>
      <c r="P34" s="50"/>
      <c r="Q34" s="50"/>
      <c r="R34" s="62"/>
      <c r="S34" s="62"/>
      <c r="T34" s="63"/>
      <c r="V34" s="65"/>
      <c r="W34" s="50"/>
      <c r="X34" s="50"/>
      <c r="Y34" s="50"/>
    </row>
    <row r="35" spans="1:25" ht="14.25" customHeight="1">
      <c r="B35" s="2"/>
      <c r="C35" s="2"/>
      <c r="D35" s="2"/>
      <c r="E35" s="2"/>
      <c r="F35" s="2"/>
      <c r="G35" s="2"/>
      <c r="H35" s="17"/>
      <c r="I35" s="17"/>
      <c r="J35" s="17"/>
      <c r="K35" s="17"/>
      <c r="L35" s="2"/>
      <c r="R35" s="2"/>
      <c r="S35" s="2"/>
      <c r="T35" s="2"/>
    </row>
    <row r="36" spans="1:25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O36" s="2"/>
      <c r="P36" s="2"/>
      <c r="Q36" s="2"/>
      <c r="R36" s="4"/>
      <c r="S36" s="5"/>
      <c r="T36" s="5"/>
    </row>
    <row r="37" spans="1:25" ht="14.25" customHeight="1">
      <c r="B37" s="2"/>
      <c r="C37" s="11"/>
      <c r="D37" s="2"/>
      <c r="E37" s="2"/>
      <c r="F37" s="2"/>
      <c r="G37" s="2"/>
      <c r="H37" s="2"/>
      <c r="I37" s="2"/>
      <c r="J37" s="2"/>
      <c r="K37" s="2"/>
      <c r="L37" s="3"/>
      <c r="O37" s="2"/>
      <c r="P37" s="2"/>
      <c r="Q37" s="2"/>
      <c r="R37" s="4"/>
      <c r="S37" s="5"/>
      <c r="T37" s="5"/>
      <c r="U37" s="2"/>
    </row>
    <row r="38" spans="1:25" ht="14.25" customHeight="1">
      <c r="A38" s="2"/>
      <c r="B38" s="2"/>
      <c r="C38" s="2"/>
      <c r="D38" s="2"/>
      <c r="E38" s="2"/>
      <c r="F38" s="2"/>
      <c r="G38" s="2"/>
      <c r="H38" s="5"/>
      <c r="I38" s="2"/>
      <c r="J38" s="2"/>
      <c r="K38" s="2"/>
      <c r="L38" s="5"/>
      <c r="O38" s="2"/>
      <c r="P38" s="6"/>
      <c r="Q38" s="2"/>
      <c r="R38" s="4"/>
      <c r="S38" s="5"/>
      <c r="T38" s="5"/>
      <c r="U38" s="2"/>
    </row>
    <row r="39" spans="1:25" ht="14.25" customHeight="1">
      <c r="B39" s="2"/>
      <c r="C39" s="18"/>
      <c r="D39" s="2"/>
      <c r="E39" s="2"/>
      <c r="F39" s="2"/>
      <c r="G39" s="2"/>
      <c r="H39" s="5"/>
      <c r="I39" s="2"/>
      <c r="J39" s="11"/>
      <c r="K39" s="11"/>
      <c r="L39" s="5"/>
      <c r="O39" s="2"/>
      <c r="P39" s="2"/>
      <c r="Q39" s="2"/>
      <c r="R39" s="4"/>
      <c r="S39" s="5"/>
      <c r="T39" s="5"/>
      <c r="U39" s="2"/>
    </row>
    <row r="40" spans="1:25" ht="14.25" customHeight="1">
      <c r="A40" s="2"/>
      <c r="B40" s="2"/>
      <c r="C40" s="2"/>
      <c r="D40" s="2"/>
      <c r="E40" s="2"/>
      <c r="F40" s="2"/>
      <c r="G40" s="2"/>
      <c r="H40" s="5">
        <f>SUM(H22:H31)</f>
        <v>790000</v>
      </c>
      <c r="I40" s="2"/>
      <c r="J40" s="2"/>
      <c r="K40" s="2"/>
      <c r="L40" s="5">
        <f>SUM(L22:L30)</f>
        <v>2771000</v>
      </c>
      <c r="O40" s="2"/>
      <c r="P40" s="2"/>
      <c r="Q40" s="2"/>
      <c r="R40" s="4"/>
      <c r="S40" s="7"/>
      <c r="T40" s="5"/>
      <c r="U40" s="2"/>
    </row>
  </sheetData>
  <mergeCells count="13">
    <mergeCell ref="V32:Y32"/>
    <mergeCell ref="H34:J34"/>
    <mergeCell ref="K34:L34"/>
    <mergeCell ref="B21:C21"/>
    <mergeCell ref="A4:L4"/>
    <mergeCell ref="B32:E32"/>
    <mergeCell ref="N32:Q32"/>
    <mergeCell ref="J11:L11"/>
    <mergeCell ref="H13:L13"/>
    <mergeCell ref="J8:L8"/>
    <mergeCell ref="F20:G20"/>
    <mergeCell ref="H20:I20"/>
    <mergeCell ref="J20:K20"/>
  </mergeCells>
  <phoneticPr fontId="1"/>
  <printOptions horizontalCentered="1"/>
  <pageMargins left="0" right="0" top="0.39370078740157483" bottom="0" header="0" footer="0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51"/>
  </sheetPr>
  <dimension ref="A3:V38"/>
  <sheetViews>
    <sheetView showGridLines="0" view="pageBreakPreview" topLeftCell="A9" zoomScaleNormal="100" zoomScaleSheetLayoutView="100" workbookViewId="0">
      <selection activeCell="L24" sqref="L24"/>
    </sheetView>
  </sheetViews>
  <sheetFormatPr defaultRowHeight="14.25"/>
  <cols>
    <col min="1" max="1" width="1.625" style="1" customWidth="1"/>
    <col min="2" max="3" width="4.125" style="1" customWidth="1"/>
    <col min="4" max="4" width="22.375" style="1" customWidth="1"/>
    <col min="5" max="6" width="5.875" style="1" customWidth="1"/>
    <col min="7" max="7" width="0.75" style="1" customWidth="1"/>
    <col min="8" max="8" width="11.625" style="1" customWidth="1"/>
    <col min="9" max="9" width="1.75" style="1" customWidth="1"/>
    <col min="10" max="10" width="11.25" style="1" customWidth="1"/>
    <col min="11" max="11" width="0.75" style="1" customWidth="1"/>
    <col min="12" max="12" width="19.125" style="1" customWidth="1"/>
    <col min="13" max="13" width="1.625" style="1" customWidth="1"/>
    <col min="14" max="14" width="4.125" style="1" customWidth="1"/>
    <col min="15" max="15" width="6.5" style="1" bestFit="1" customWidth="1"/>
    <col min="16" max="18" width="9" style="1"/>
    <col min="19" max="19" width="12" style="1" bestFit="1" customWidth="1"/>
    <col min="20" max="20" width="5.75" style="1" bestFit="1" customWidth="1"/>
    <col min="21" max="21" width="14.5" style="1" bestFit="1" customWidth="1"/>
    <col min="22" max="22" width="21.875" style="1" bestFit="1" customWidth="1"/>
    <col min="23" max="54" width="9" style="1"/>
    <col min="55" max="57" width="9.125" style="1" bestFit="1" customWidth="1"/>
    <col min="58" max="58" width="10.5" style="1" bestFit="1" customWidth="1"/>
    <col min="59" max="126" width="9" style="1"/>
    <col min="127" max="128" width="9.125" style="1" bestFit="1" customWidth="1"/>
    <col min="129" max="129" width="10.5" style="1" bestFit="1" customWidth="1"/>
    <col min="130" max="135" width="9" style="1"/>
    <col min="136" max="137" width="9.125" style="1" bestFit="1" customWidth="1"/>
    <col min="138" max="138" width="11.625" style="1" bestFit="1" customWidth="1"/>
    <col min="139" max="16384" width="9" style="1"/>
  </cols>
  <sheetData>
    <row r="3" spans="1:14" ht="18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4" s="66" customFormat="1" ht="30" customHeight="1">
      <c r="A4" s="185" t="s">
        <v>1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</row>
    <row r="5" spans="1:14" s="49" customFormat="1" ht="10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4" s="49" customFormat="1" ht="14.2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4" s="49" customFormat="1" ht="18" customHeight="1">
      <c r="B7" s="50"/>
      <c r="C7" s="51"/>
      <c r="D7" s="50"/>
      <c r="E7" s="50"/>
      <c r="F7" s="50"/>
      <c r="G7" s="50"/>
      <c r="H7" s="50"/>
      <c r="I7" s="50"/>
      <c r="J7" s="184" t="s">
        <v>19</v>
      </c>
      <c r="K7" s="184"/>
      <c r="L7" s="158">
        <f>'輸入品消費税（日和産業）'!L7+1</f>
        <v>250804</v>
      </c>
    </row>
    <row r="8" spans="1:14" s="49" customFormat="1" ht="17.25">
      <c r="B8" s="50"/>
      <c r="C8" s="48"/>
      <c r="D8" s="50"/>
      <c r="E8" s="50"/>
      <c r="F8" s="50"/>
      <c r="G8" s="50"/>
      <c r="H8" s="50"/>
      <c r="I8" s="50"/>
      <c r="J8" s="180">
        <f>'輸入品消費税（日和産業）'!J8:L8</f>
        <v>45900</v>
      </c>
      <c r="K8" s="180"/>
      <c r="L8" s="180"/>
    </row>
    <row r="9" spans="1:14" s="49" customFormat="1" ht="10.5" customHeight="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5"/>
    </row>
    <row r="10" spans="1:14" s="49" customFormat="1" ht="18" customHeight="1">
      <c r="B10" s="50"/>
      <c r="C10" s="50"/>
      <c r="D10" s="56"/>
      <c r="E10" s="50"/>
      <c r="F10" s="50"/>
      <c r="G10" s="50"/>
      <c r="H10" s="50"/>
      <c r="I10" s="50"/>
      <c r="J10" s="51"/>
      <c r="K10" s="51"/>
      <c r="L10" s="50"/>
    </row>
    <row r="11" spans="1:14" s="49" customFormat="1" ht="10.5" customHeight="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</row>
    <row r="12" spans="1:14" s="49" customFormat="1" ht="20.25" customHeight="1">
      <c r="B12" s="50"/>
      <c r="C12" s="48" t="s">
        <v>8</v>
      </c>
      <c r="D12" s="57"/>
      <c r="E12" s="54" t="s">
        <v>2</v>
      </c>
      <c r="F12" s="54"/>
      <c r="G12" s="54"/>
      <c r="J12" s="178"/>
      <c r="K12" s="178"/>
      <c r="L12" s="178"/>
    </row>
    <row r="13" spans="1:14" s="49" customFormat="1" ht="6" customHeight="1">
      <c r="B13" s="50"/>
      <c r="C13" s="58"/>
      <c r="D13" s="58"/>
      <c r="E13" s="58"/>
      <c r="F13" s="50"/>
      <c r="G13" s="50"/>
      <c r="H13" s="59"/>
      <c r="I13" s="59"/>
      <c r="J13" s="50"/>
      <c r="K13" s="50"/>
      <c r="L13" s="50"/>
    </row>
    <row r="14" spans="1:14" s="49" customFormat="1" ht="21.75" customHeight="1">
      <c r="A14" s="50"/>
      <c r="B14" s="50"/>
      <c r="C14" s="50"/>
      <c r="D14" s="50"/>
      <c r="E14" s="50"/>
      <c r="F14" s="50"/>
      <c r="G14" s="50"/>
      <c r="H14" s="179"/>
      <c r="I14" s="179"/>
      <c r="J14" s="179"/>
      <c r="K14" s="179"/>
      <c r="L14" s="179"/>
    </row>
    <row r="15" spans="1:14" s="49" customFormat="1" ht="13.5" customHeight="1">
      <c r="B15" s="50"/>
      <c r="C15" s="50"/>
      <c r="D15" s="50"/>
      <c r="E15" s="50"/>
      <c r="F15" s="50"/>
      <c r="G15" s="50"/>
      <c r="H15" s="61"/>
      <c r="I15" s="61"/>
      <c r="J15" s="81" t="s">
        <v>26</v>
      </c>
      <c r="K15" s="60"/>
      <c r="L15" s="60" t="s">
        <v>23</v>
      </c>
    </row>
    <row r="16" spans="1:14" s="49" customFormat="1" ht="13.5" customHeight="1">
      <c r="B16" s="50"/>
      <c r="C16" s="50"/>
      <c r="D16" s="50"/>
      <c r="E16" s="50"/>
      <c r="F16" s="50"/>
      <c r="G16" s="50"/>
      <c r="H16" s="61"/>
      <c r="I16" s="61"/>
      <c r="J16" s="81" t="s">
        <v>27</v>
      </c>
      <c r="K16" s="60"/>
      <c r="L16" s="60" t="s">
        <v>28</v>
      </c>
      <c r="N16" s="50"/>
    </row>
    <row r="17" spans="1:22" s="49" customFormat="1" ht="13.5" customHeight="1">
      <c r="B17" s="50"/>
      <c r="C17" s="50"/>
      <c r="D17" s="50"/>
      <c r="E17" s="50"/>
      <c r="F17" s="50"/>
      <c r="G17" s="50"/>
      <c r="H17" s="61"/>
      <c r="I17" s="61"/>
      <c r="J17" s="81"/>
      <c r="K17" s="81"/>
      <c r="L17" s="81"/>
      <c r="N17" s="50"/>
    </row>
    <row r="18" spans="1:22" s="49" customFormat="1" ht="24" customHeight="1">
      <c r="B18" s="50"/>
      <c r="C18" s="51" t="s">
        <v>3</v>
      </c>
      <c r="D18" s="50"/>
      <c r="E18" s="50"/>
      <c r="F18" s="50"/>
      <c r="G18" s="50"/>
      <c r="H18" s="50"/>
      <c r="I18" s="50"/>
      <c r="J18" s="50"/>
      <c r="K18" s="50"/>
      <c r="L18" s="50"/>
      <c r="N18" s="50"/>
    </row>
    <row r="19" spans="1:22" s="49" customFormat="1" ht="32.25" customHeight="1">
      <c r="A19" s="50"/>
      <c r="B19" s="50"/>
      <c r="C19" s="50"/>
      <c r="D19" s="50"/>
      <c r="E19" s="50"/>
      <c r="F19" s="50"/>
      <c r="G19" s="50"/>
      <c r="H19" s="62"/>
      <c r="I19" s="62"/>
      <c r="J19" s="62"/>
      <c r="K19" s="62"/>
      <c r="L19" s="63"/>
      <c r="M19" s="50"/>
      <c r="N19" s="50"/>
    </row>
    <row r="20" spans="1:22" s="49" customFormat="1" ht="15.75" customHeight="1">
      <c r="A20" s="50"/>
      <c r="B20" s="50"/>
      <c r="C20" s="50"/>
      <c r="D20" s="50"/>
      <c r="E20" s="50"/>
      <c r="F20" s="50"/>
      <c r="G20" s="50"/>
      <c r="H20" s="62"/>
      <c r="I20" s="62"/>
      <c r="J20" s="154"/>
      <c r="K20" s="154"/>
      <c r="L20" s="155"/>
      <c r="M20" s="50"/>
      <c r="N20" s="50"/>
    </row>
    <row r="21" spans="1:22" ht="29.1" customHeight="1">
      <c r="B21" s="21" t="s">
        <v>4</v>
      </c>
      <c r="C21" s="22" t="s">
        <v>5</v>
      </c>
      <c r="D21" s="22" t="s">
        <v>6</v>
      </c>
      <c r="E21" s="22" t="s">
        <v>12</v>
      </c>
      <c r="F21" s="181" t="s">
        <v>0</v>
      </c>
      <c r="G21" s="182"/>
      <c r="H21" s="181" t="s">
        <v>14</v>
      </c>
      <c r="I21" s="182"/>
      <c r="J21" s="181" t="s">
        <v>16</v>
      </c>
      <c r="K21" s="182"/>
      <c r="L21" s="20" t="s">
        <v>15</v>
      </c>
      <c r="N21" s="8"/>
    </row>
    <row r="22" spans="1:22" ht="29.1" customHeight="1">
      <c r="B22" s="172" t="str">
        <f>'輸入品消費税（日和産業）'!B21:C21</f>
        <v>8月分</v>
      </c>
      <c r="C22" s="173"/>
      <c r="D22" s="44" t="s">
        <v>17</v>
      </c>
      <c r="E22" s="44"/>
      <c r="F22" s="45"/>
      <c r="G22" s="46"/>
      <c r="H22" s="45"/>
      <c r="I22" s="46"/>
      <c r="J22" s="45"/>
      <c r="K22" s="46"/>
      <c r="L22" s="47"/>
      <c r="N22" s="8" t="s">
        <v>46</v>
      </c>
    </row>
    <row r="23" spans="1:22" ht="51" customHeight="1">
      <c r="A23" s="2"/>
      <c r="B23" s="26">
        <v>8</v>
      </c>
      <c r="C23" s="70">
        <v>6</v>
      </c>
      <c r="D23" s="43" t="s">
        <v>122</v>
      </c>
      <c r="E23" s="69" t="s">
        <v>48</v>
      </c>
      <c r="F23" s="36"/>
      <c r="G23" s="42"/>
      <c r="H23" s="71">
        <v>675450</v>
      </c>
      <c r="I23" s="74"/>
      <c r="J23" s="73"/>
      <c r="K23" s="75"/>
      <c r="L23" s="72">
        <v>2660200</v>
      </c>
      <c r="M23" s="2"/>
      <c r="N23" s="10" t="s">
        <v>44</v>
      </c>
    </row>
    <row r="24" spans="1:22" ht="51" customHeight="1">
      <c r="A24" s="2"/>
      <c r="B24" s="26"/>
      <c r="C24" s="70">
        <v>19</v>
      </c>
      <c r="D24" s="43" t="s">
        <v>120</v>
      </c>
      <c r="E24" s="69" t="s">
        <v>47</v>
      </c>
      <c r="F24" s="36"/>
      <c r="G24" s="42"/>
      <c r="H24" s="71">
        <v>500000</v>
      </c>
      <c r="I24" s="74"/>
      <c r="J24" s="73"/>
      <c r="K24" s="75"/>
      <c r="L24" s="72">
        <v>1725400</v>
      </c>
      <c r="M24" s="2"/>
      <c r="N24" s="10"/>
      <c r="S24" s="124">
        <v>45433</v>
      </c>
      <c r="T24" s="123" t="s">
        <v>48</v>
      </c>
      <c r="U24" s="123">
        <v>81195674550</v>
      </c>
      <c r="V24" s="1" t="s">
        <v>111</v>
      </c>
    </row>
    <row r="25" spans="1:22" ht="51" customHeight="1">
      <c r="A25" s="2"/>
      <c r="B25" s="26"/>
      <c r="C25" s="70"/>
      <c r="D25" s="43"/>
      <c r="E25" s="69"/>
      <c r="F25" s="36"/>
      <c r="G25" s="42"/>
      <c r="H25" s="71"/>
      <c r="I25" s="74"/>
      <c r="J25" s="73"/>
      <c r="K25" s="75"/>
      <c r="L25" s="72"/>
      <c r="M25" s="2"/>
      <c r="N25" s="10"/>
    </row>
    <row r="26" spans="1:22" ht="51" customHeight="1">
      <c r="A26" s="2"/>
      <c r="B26" s="26"/>
      <c r="C26" s="70"/>
      <c r="D26" s="43"/>
      <c r="E26" s="69"/>
      <c r="F26" s="36"/>
      <c r="G26" s="42"/>
      <c r="H26" s="71"/>
      <c r="I26" s="74"/>
      <c r="J26" s="73"/>
      <c r="K26" s="75"/>
      <c r="L26" s="72"/>
      <c r="M26" s="2"/>
      <c r="N26" s="10"/>
    </row>
    <row r="27" spans="1:22" ht="40.5" customHeight="1">
      <c r="A27" s="2"/>
      <c r="B27" s="26"/>
      <c r="C27" s="70"/>
      <c r="D27" s="43"/>
      <c r="E27" s="69"/>
      <c r="F27" s="37"/>
      <c r="G27" s="40"/>
      <c r="H27" s="71"/>
      <c r="I27" s="74"/>
      <c r="J27" s="73"/>
      <c r="K27" s="75"/>
      <c r="L27" s="72"/>
      <c r="M27" s="2"/>
      <c r="N27" s="10"/>
    </row>
    <row r="28" spans="1:22" ht="40.5" customHeight="1">
      <c r="A28" s="2"/>
      <c r="B28" s="26"/>
      <c r="C28" s="27"/>
      <c r="D28" s="43"/>
      <c r="E28" s="69"/>
      <c r="F28" s="37"/>
      <c r="G28" s="40"/>
      <c r="H28" s="71"/>
      <c r="I28" s="74"/>
      <c r="J28" s="73"/>
      <c r="K28" s="75"/>
      <c r="L28" s="72"/>
      <c r="M28" s="2"/>
      <c r="N28" s="10"/>
    </row>
    <row r="29" spans="1:22" ht="40.5" customHeight="1">
      <c r="A29" s="2"/>
      <c r="B29" s="26"/>
      <c r="C29" s="27"/>
      <c r="D29" s="43"/>
      <c r="E29" s="69"/>
      <c r="F29" s="37"/>
      <c r="G29" s="40"/>
      <c r="H29" s="71"/>
      <c r="I29" s="74"/>
      <c r="J29" s="73"/>
      <c r="K29" s="75"/>
      <c r="L29" s="72"/>
      <c r="M29" s="2"/>
      <c r="N29" s="10"/>
    </row>
    <row r="30" spans="1:22" ht="40.5" customHeight="1">
      <c r="A30" s="2"/>
      <c r="B30" s="26"/>
      <c r="C30" s="27"/>
      <c r="D30" s="28"/>
      <c r="E30" s="23"/>
      <c r="F30" s="37"/>
      <c r="G30" s="40"/>
      <c r="H30" s="71"/>
      <c r="I30" s="74"/>
      <c r="J30" s="73"/>
      <c r="K30" s="75"/>
      <c r="L30" s="72"/>
      <c r="M30" s="2"/>
      <c r="N30" s="10"/>
    </row>
    <row r="31" spans="1:22" ht="40.5" customHeight="1">
      <c r="A31" s="2"/>
      <c r="B31" s="26"/>
      <c r="C31" s="27"/>
      <c r="D31" s="28"/>
      <c r="E31" s="23"/>
      <c r="F31" s="37"/>
      <c r="G31" s="40"/>
      <c r="H31" s="71"/>
      <c r="I31" s="74"/>
      <c r="J31" s="73"/>
      <c r="K31" s="75"/>
      <c r="L31" s="72"/>
      <c r="M31" s="2"/>
      <c r="N31" s="10"/>
    </row>
    <row r="32" spans="1:22" ht="40.5" customHeight="1">
      <c r="A32" s="2"/>
      <c r="B32" s="26"/>
      <c r="C32" s="27"/>
      <c r="D32" s="28"/>
      <c r="E32" s="23"/>
      <c r="F32" s="37"/>
      <c r="G32" s="40"/>
      <c r="H32" s="71"/>
      <c r="I32" s="74"/>
      <c r="J32" s="73"/>
      <c r="K32" s="75"/>
      <c r="L32" s="72"/>
    </row>
    <row r="33" spans="1:12" ht="40.5" customHeight="1">
      <c r="A33" s="2"/>
      <c r="B33" s="175" t="s">
        <v>7</v>
      </c>
      <c r="C33" s="186"/>
      <c r="D33" s="186"/>
      <c r="E33" s="187"/>
      <c r="F33" s="41"/>
      <c r="G33" s="38"/>
      <c r="H33" s="78">
        <f>SUM(H22:H32)</f>
        <v>1175450</v>
      </c>
      <c r="I33" s="34" t="s">
        <v>21</v>
      </c>
      <c r="J33" s="76"/>
      <c r="K33" s="77"/>
      <c r="L33" s="79">
        <f>SUM(L23:L32)</f>
        <v>4385600</v>
      </c>
    </row>
    <row r="34" spans="1:12" ht="15" customHeight="1">
      <c r="A34" s="2"/>
      <c r="B34" s="83"/>
      <c r="C34" s="84"/>
      <c r="D34" s="84"/>
      <c r="E34" s="84"/>
      <c r="F34" s="85"/>
      <c r="G34" s="85"/>
      <c r="H34" s="86"/>
      <c r="I34" s="87"/>
      <c r="J34" s="88"/>
      <c r="K34" s="88"/>
      <c r="L34" s="89"/>
    </row>
    <row r="35" spans="1:12" s="49" customFormat="1" ht="20.25" customHeight="1">
      <c r="B35" s="60" t="s">
        <v>113</v>
      </c>
      <c r="C35" s="50"/>
      <c r="D35" s="50"/>
      <c r="E35" s="50"/>
      <c r="G35" s="92"/>
      <c r="H35" s="170" t="s">
        <v>42</v>
      </c>
      <c r="I35" s="170"/>
      <c r="J35" s="170"/>
      <c r="K35" s="183">
        <f>'輸入品消費税（日和産業）'!K34:L34</f>
        <v>45992</v>
      </c>
      <c r="L35" s="183"/>
    </row>
    <row r="36" spans="1:12" ht="40.5" customHeight="1">
      <c r="A36" s="2"/>
      <c r="B36" s="2"/>
      <c r="C36" s="2"/>
      <c r="D36" s="2"/>
      <c r="E36" s="2"/>
      <c r="F36" s="2"/>
      <c r="G36" s="2"/>
      <c r="H36" s="5"/>
      <c r="I36" s="2"/>
      <c r="J36" s="2"/>
      <c r="K36" s="2"/>
      <c r="L36" s="5"/>
    </row>
    <row r="37" spans="1:12" ht="40.5" customHeight="1">
      <c r="B37" s="2"/>
      <c r="C37" s="18"/>
      <c r="D37" s="2"/>
      <c r="E37" s="2"/>
      <c r="F37" s="2"/>
      <c r="G37" s="2"/>
      <c r="H37" s="5"/>
      <c r="I37" s="2"/>
      <c r="J37" s="11"/>
      <c r="K37" s="11"/>
      <c r="L37" s="5"/>
    </row>
    <row r="38" spans="1:12" ht="14.25" customHeight="1">
      <c r="A38" s="2"/>
      <c r="B38" s="2"/>
      <c r="C38" s="2"/>
      <c r="D38" s="2"/>
      <c r="E38" s="2"/>
      <c r="F38" s="2"/>
      <c r="G38" s="2"/>
      <c r="H38" s="5">
        <f>SUM(H23:H28)</f>
        <v>1175450</v>
      </c>
      <c r="I38" s="2"/>
      <c r="J38" s="2"/>
      <c r="K38" s="2"/>
      <c r="L38" s="5">
        <f>SUM(L23:L28)</f>
        <v>4385600</v>
      </c>
    </row>
  </sheetData>
  <mergeCells count="12">
    <mergeCell ref="K35:L35"/>
    <mergeCell ref="H35:J35"/>
    <mergeCell ref="J21:K21"/>
    <mergeCell ref="J7:K7"/>
    <mergeCell ref="A4:L4"/>
    <mergeCell ref="J8:L8"/>
    <mergeCell ref="B33:E33"/>
    <mergeCell ref="J12:L12"/>
    <mergeCell ref="H14:L14"/>
    <mergeCell ref="B22:C22"/>
    <mergeCell ref="F21:G21"/>
    <mergeCell ref="H21:I21"/>
  </mergeCells>
  <phoneticPr fontId="1"/>
  <printOptions horizontalCentered="1"/>
  <pageMargins left="0" right="0" top="0.39370078740157483" bottom="0" header="0" footer="0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zoomScale="85" zoomScaleNormal="85" workbookViewId="0">
      <selection activeCell="F61" sqref="F61"/>
    </sheetView>
  </sheetViews>
  <sheetFormatPr defaultRowHeight="15.75"/>
  <cols>
    <col min="1" max="1" width="9.5" bestFit="1" customWidth="1"/>
    <col min="2" max="2" width="14.125" customWidth="1"/>
    <col min="3" max="3" width="11.5" bestFit="1" customWidth="1"/>
    <col min="4" max="4" width="12.375" bestFit="1" customWidth="1"/>
    <col min="5" max="5" width="15.5" customWidth="1"/>
    <col min="6" max="6" width="13.5" customWidth="1"/>
  </cols>
  <sheetData>
    <row r="1" spans="1:6">
      <c r="A1" s="94">
        <f>'輸入品消費税（日和産業）'!B22</f>
        <v>8</v>
      </c>
    </row>
    <row r="2" spans="1:6">
      <c r="B2" s="188">
        <f>'輸入品消費税（日和産業）'!L32+'輸入品消費税（日清丸紅'!L33</f>
        <v>7156600</v>
      </c>
      <c r="C2" s="189"/>
      <c r="D2" s="189"/>
    </row>
    <row r="3" spans="1:6">
      <c r="B3" s="189"/>
      <c r="C3" s="189"/>
      <c r="D3" s="189"/>
    </row>
    <row r="4" spans="1:6">
      <c r="D4" s="95">
        <v>4306000</v>
      </c>
      <c r="E4" s="97" t="s">
        <v>59</v>
      </c>
    </row>
    <row r="5" spans="1:6">
      <c r="D5" s="96">
        <f>SUM(B2:D4)</f>
        <v>11462600</v>
      </c>
      <c r="E5" t="s">
        <v>63</v>
      </c>
    </row>
    <row r="7" spans="1:6" ht="18.75">
      <c r="B7" s="159" t="s">
        <v>76</v>
      </c>
      <c r="C7" s="159" t="s">
        <v>95</v>
      </c>
      <c r="D7" s="159" t="s">
        <v>98</v>
      </c>
      <c r="E7" s="160" t="s">
        <v>96</v>
      </c>
      <c r="F7" s="160" t="s">
        <v>97</v>
      </c>
    </row>
    <row r="8" spans="1:6" hidden="1">
      <c r="A8" s="112" t="s">
        <v>66</v>
      </c>
      <c r="B8" s="153">
        <v>14353400</v>
      </c>
      <c r="C8" s="143">
        <v>44775</v>
      </c>
      <c r="D8" s="151">
        <v>44775</v>
      </c>
      <c r="E8" s="152">
        <v>3719100</v>
      </c>
      <c r="F8" s="152">
        <f t="shared" ref="F8:F10" si="0">B8-E8</f>
        <v>10634300</v>
      </c>
    </row>
    <row r="9" spans="1:6" hidden="1">
      <c r="A9" s="114" t="s">
        <v>64</v>
      </c>
      <c r="B9" s="153">
        <v>10092400</v>
      </c>
      <c r="C9" s="143">
        <v>44804</v>
      </c>
      <c r="D9" s="151">
        <v>44803</v>
      </c>
      <c r="E9" s="152">
        <v>2905600</v>
      </c>
      <c r="F9" s="152">
        <f t="shared" si="0"/>
        <v>7186800</v>
      </c>
    </row>
    <row r="10" spans="1:6" hidden="1">
      <c r="A10" s="112" t="s">
        <v>65</v>
      </c>
      <c r="B10" s="153">
        <v>10057600</v>
      </c>
      <c r="C10" s="143">
        <v>44834</v>
      </c>
      <c r="D10" s="151">
        <v>44834</v>
      </c>
      <c r="E10" s="152">
        <v>4211100</v>
      </c>
      <c r="F10" s="152">
        <f t="shared" si="0"/>
        <v>5846500</v>
      </c>
    </row>
    <row r="11" spans="1:6" hidden="1">
      <c r="A11" s="112" t="s">
        <v>67</v>
      </c>
      <c r="B11" s="153">
        <v>9136100</v>
      </c>
      <c r="C11" s="143">
        <v>44866</v>
      </c>
      <c r="D11" s="151">
        <v>44848</v>
      </c>
      <c r="E11" s="152">
        <v>2076200</v>
      </c>
      <c r="F11" s="152">
        <f>B11-E11</f>
        <v>7059900</v>
      </c>
    </row>
    <row r="12" spans="1:6" hidden="1">
      <c r="A12" s="114" t="s">
        <v>68</v>
      </c>
      <c r="B12" s="153">
        <v>11482600</v>
      </c>
      <c r="C12" s="143">
        <v>44895</v>
      </c>
      <c r="D12" s="151">
        <v>44873</v>
      </c>
      <c r="E12" s="152">
        <v>2356600</v>
      </c>
      <c r="F12" s="152">
        <f t="shared" ref="F12:F22" si="1">B12-E12</f>
        <v>9126000</v>
      </c>
    </row>
    <row r="13" spans="1:6" hidden="1">
      <c r="A13" s="112" t="s">
        <v>69</v>
      </c>
      <c r="B13" s="153">
        <v>9902000</v>
      </c>
      <c r="C13" s="143">
        <v>44565</v>
      </c>
      <c r="D13" s="151">
        <v>44894</v>
      </c>
      <c r="E13" s="152">
        <v>3755000</v>
      </c>
      <c r="F13" s="152">
        <f t="shared" si="1"/>
        <v>6147000</v>
      </c>
    </row>
    <row r="14" spans="1:6" hidden="1">
      <c r="A14" s="112" t="s">
        <v>70</v>
      </c>
      <c r="B14" s="153">
        <v>12136500</v>
      </c>
      <c r="C14" s="143">
        <v>44592</v>
      </c>
      <c r="D14" s="150">
        <v>44917</v>
      </c>
      <c r="E14" s="152">
        <v>3333700</v>
      </c>
      <c r="F14" s="152">
        <f t="shared" si="1"/>
        <v>8802800</v>
      </c>
    </row>
    <row r="15" spans="1:6" hidden="1">
      <c r="A15" s="114" t="s">
        <v>71</v>
      </c>
      <c r="B15" s="153">
        <v>15795100</v>
      </c>
      <c r="C15" s="143">
        <v>44255</v>
      </c>
      <c r="D15" s="150">
        <v>44586</v>
      </c>
      <c r="E15" s="152">
        <v>2930100</v>
      </c>
      <c r="F15" s="152">
        <f t="shared" si="1"/>
        <v>12865000</v>
      </c>
    </row>
    <row r="16" spans="1:6" hidden="1">
      <c r="A16" s="112" t="s">
        <v>72</v>
      </c>
      <c r="B16" s="153">
        <v>12973600</v>
      </c>
      <c r="C16" s="143">
        <v>44286</v>
      </c>
      <c r="D16" s="150">
        <v>44617</v>
      </c>
      <c r="E16" s="152">
        <v>3885850</v>
      </c>
      <c r="F16" s="152">
        <f t="shared" si="1"/>
        <v>9087750</v>
      </c>
    </row>
    <row r="17" spans="1:6" hidden="1">
      <c r="A17" s="112" t="s">
        <v>73</v>
      </c>
      <c r="B17" s="153">
        <v>16110300</v>
      </c>
      <c r="C17" s="143">
        <v>44683</v>
      </c>
      <c r="D17" s="150">
        <v>44683</v>
      </c>
      <c r="E17" s="152">
        <v>4471000</v>
      </c>
      <c r="F17" s="152">
        <f t="shared" si="1"/>
        <v>11639300</v>
      </c>
    </row>
    <row r="18" spans="1:6" hidden="1">
      <c r="A18" s="114" t="s">
        <v>74</v>
      </c>
      <c r="B18" s="153">
        <v>9960200</v>
      </c>
      <c r="C18" s="143">
        <v>44712</v>
      </c>
      <c r="D18" s="150">
        <v>44712</v>
      </c>
      <c r="E18" s="152">
        <v>3832300</v>
      </c>
      <c r="F18" s="152">
        <f t="shared" si="1"/>
        <v>6127900</v>
      </c>
    </row>
    <row r="19" spans="1:6" hidden="1">
      <c r="A19" s="112" t="s">
        <v>75</v>
      </c>
      <c r="B19" s="153">
        <v>9936400</v>
      </c>
      <c r="C19" s="143">
        <v>44742</v>
      </c>
      <c r="D19" s="150">
        <v>44742</v>
      </c>
      <c r="E19" s="152">
        <v>2670000</v>
      </c>
      <c r="F19" s="152">
        <f t="shared" si="1"/>
        <v>7266400</v>
      </c>
    </row>
    <row r="20" spans="1:6" hidden="1">
      <c r="A20" s="112" t="s">
        <v>100</v>
      </c>
      <c r="B20" s="153">
        <v>12959800</v>
      </c>
      <c r="C20" s="143">
        <v>44774</v>
      </c>
      <c r="D20" s="150">
        <v>44762</v>
      </c>
      <c r="E20" s="152">
        <v>4651500</v>
      </c>
      <c r="F20" s="152">
        <f t="shared" si="1"/>
        <v>8308300</v>
      </c>
    </row>
    <row r="21" spans="1:6" hidden="1">
      <c r="A21" s="112" t="s">
        <v>102</v>
      </c>
      <c r="B21" s="153">
        <v>20016600</v>
      </c>
      <c r="C21" s="143">
        <v>44804</v>
      </c>
      <c r="D21" s="150">
        <v>44798</v>
      </c>
      <c r="E21" s="152">
        <v>7867000</v>
      </c>
      <c r="F21" s="152">
        <f t="shared" si="1"/>
        <v>12149600</v>
      </c>
    </row>
    <row r="22" spans="1:6" hidden="1">
      <c r="A22" s="112" t="s">
        <v>103</v>
      </c>
      <c r="B22" s="113">
        <v>14149200</v>
      </c>
      <c r="C22" s="143">
        <v>44834</v>
      </c>
      <c r="D22" s="150">
        <v>44834</v>
      </c>
      <c r="E22" s="152">
        <v>6021200</v>
      </c>
      <c r="F22" s="149">
        <f t="shared" si="1"/>
        <v>8128000</v>
      </c>
    </row>
    <row r="23" spans="1:6" hidden="1">
      <c r="A23" s="112" t="s">
        <v>67</v>
      </c>
      <c r="B23" s="113">
        <v>9653900</v>
      </c>
      <c r="C23" s="143">
        <v>44865</v>
      </c>
      <c r="D23" s="150">
        <v>44865</v>
      </c>
      <c r="E23" s="152">
        <v>0</v>
      </c>
      <c r="F23" s="149">
        <v>9653900</v>
      </c>
    </row>
    <row r="24" spans="1:6" hidden="1">
      <c r="A24" s="112" t="s">
        <v>68</v>
      </c>
      <c r="B24" s="113">
        <v>21066400</v>
      </c>
      <c r="C24" s="143">
        <v>44895</v>
      </c>
      <c r="D24" s="150">
        <v>44890</v>
      </c>
      <c r="E24" s="152">
        <v>7721500</v>
      </c>
      <c r="F24" s="149">
        <v>13344900</v>
      </c>
    </row>
    <row r="25" spans="1:6" hidden="1">
      <c r="A25" s="112" t="s">
        <v>69</v>
      </c>
      <c r="B25" s="113">
        <v>21087800</v>
      </c>
      <c r="C25" s="143">
        <v>44930</v>
      </c>
      <c r="D25" s="150">
        <v>44930</v>
      </c>
      <c r="E25" s="152">
        <v>4510550</v>
      </c>
      <c r="F25" s="149">
        <v>16577250</v>
      </c>
    </row>
    <row r="26" spans="1:6" hidden="1">
      <c r="A26" s="112" t="s">
        <v>70</v>
      </c>
      <c r="B26" s="113">
        <v>19440300</v>
      </c>
      <c r="C26" s="143">
        <v>44957</v>
      </c>
      <c r="D26" s="150">
        <v>44957</v>
      </c>
      <c r="E26" s="152">
        <v>5215300</v>
      </c>
      <c r="F26" s="149">
        <v>14225000</v>
      </c>
    </row>
    <row r="27" spans="1:6" hidden="1">
      <c r="A27" s="112" t="s">
        <v>105</v>
      </c>
      <c r="B27" s="113">
        <f t="shared" ref="B27:B37" si="2">E27+F27</f>
        <v>23351700</v>
      </c>
      <c r="C27" s="143">
        <v>44985</v>
      </c>
      <c r="D27" s="150">
        <v>44985</v>
      </c>
      <c r="E27" s="152">
        <v>4626000</v>
      </c>
      <c r="F27" s="149">
        <v>18725700</v>
      </c>
    </row>
    <row r="28" spans="1:6" hidden="1">
      <c r="A28" s="112" t="s">
        <v>72</v>
      </c>
      <c r="B28" s="113">
        <f t="shared" si="2"/>
        <v>18351100</v>
      </c>
      <c r="C28" s="143">
        <v>44286</v>
      </c>
      <c r="D28" s="150">
        <v>45016</v>
      </c>
      <c r="E28" s="152">
        <v>5917100</v>
      </c>
      <c r="F28" s="149">
        <v>12434000</v>
      </c>
    </row>
    <row r="29" spans="1:6" hidden="1">
      <c r="A29" s="112" t="s">
        <v>73</v>
      </c>
      <c r="B29" s="113">
        <f t="shared" si="2"/>
        <v>16881600</v>
      </c>
      <c r="C29" s="143">
        <v>45047</v>
      </c>
      <c r="D29" s="150">
        <v>45047</v>
      </c>
      <c r="E29" s="152">
        <v>4940000</v>
      </c>
      <c r="F29" s="149">
        <v>11941600</v>
      </c>
    </row>
    <row r="30" spans="1:6" hidden="1">
      <c r="A30" s="112" t="s">
        <v>74</v>
      </c>
      <c r="B30" s="113">
        <f t="shared" si="2"/>
        <v>14825900</v>
      </c>
      <c r="C30" s="143">
        <v>45077</v>
      </c>
      <c r="D30" s="150">
        <v>45077</v>
      </c>
      <c r="E30" s="152">
        <v>3502600</v>
      </c>
      <c r="F30" s="149">
        <v>11323300</v>
      </c>
    </row>
    <row r="31" spans="1:6" hidden="1">
      <c r="A31" s="112" t="s">
        <v>75</v>
      </c>
      <c r="B31" s="113">
        <f t="shared" si="2"/>
        <v>20484600</v>
      </c>
      <c r="C31" s="143">
        <v>45107</v>
      </c>
      <c r="D31" s="150">
        <v>45107</v>
      </c>
      <c r="E31" s="152">
        <v>5852300</v>
      </c>
      <c r="F31" s="149">
        <v>14632300</v>
      </c>
    </row>
    <row r="32" spans="1:6" hidden="1">
      <c r="A32" s="112" t="s">
        <v>66</v>
      </c>
      <c r="B32" s="113">
        <f t="shared" si="2"/>
        <v>12920000</v>
      </c>
      <c r="C32" s="143">
        <v>45138</v>
      </c>
      <c r="D32" s="150">
        <v>45138</v>
      </c>
      <c r="E32" s="149">
        <v>4110700</v>
      </c>
      <c r="F32" s="149">
        <v>8809300</v>
      </c>
    </row>
    <row r="33" spans="1:6" hidden="1">
      <c r="A33" s="112" t="s">
        <v>64</v>
      </c>
      <c r="B33" s="113">
        <f t="shared" si="2"/>
        <v>8695800</v>
      </c>
      <c r="C33" s="143">
        <v>45169</v>
      </c>
      <c r="D33" s="150">
        <v>45169</v>
      </c>
      <c r="E33" s="149">
        <v>4406400</v>
      </c>
      <c r="F33" s="149">
        <v>4289400</v>
      </c>
    </row>
    <row r="34" spans="1:6" hidden="1">
      <c r="A34" s="112" t="s">
        <v>103</v>
      </c>
      <c r="B34" s="113">
        <f t="shared" si="2"/>
        <v>20437000</v>
      </c>
      <c r="C34" s="143">
        <v>45201</v>
      </c>
      <c r="D34" s="150">
        <v>45201</v>
      </c>
      <c r="E34" s="149">
        <v>6651900</v>
      </c>
      <c r="F34" s="149">
        <v>13785100</v>
      </c>
    </row>
    <row r="35" spans="1:6" hidden="1">
      <c r="A35" s="112" t="s">
        <v>67</v>
      </c>
      <c r="B35" s="113">
        <f t="shared" si="2"/>
        <v>15875600</v>
      </c>
      <c r="C35" s="143">
        <v>45230</v>
      </c>
      <c r="D35" s="150">
        <v>45225</v>
      </c>
      <c r="E35" s="149">
        <v>5951200</v>
      </c>
      <c r="F35" s="149">
        <v>9924400</v>
      </c>
    </row>
    <row r="36" spans="1:6" hidden="1">
      <c r="A36" s="112" t="s">
        <v>68</v>
      </c>
      <c r="B36" s="113">
        <f t="shared" si="2"/>
        <v>13859400</v>
      </c>
      <c r="C36" s="143">
        <v>45260</v>
      </c>
      <c r="D36" s="150">
        <v>45260</v>
      </c>
      <c r="E36" s="149">
        <v>3544800</v>
      </c>
      <c r="F36" s="149">
        <v>10314600</v>
      </c>
    </row>
    <row r="37" spans="1:6" hidden="1">
      <c r="A37" s="112" t="s">
        <v>69</v>
      </c>
      <c r="B37" s="113">
        <f t="shared" si="2"/>
        <v>16842200</v>
      </c>
      <c r="C37" s="143">
        <v>45295</v>
      </c>
      <c r="D37" s="143">
        <v>45295</v>
      </c>
      <c r="E37" s="149">
        <v>3431900</v>
      </c>
      <c r="F37" s="149">
        <v>13410300</v>
      </c>
    </row>
    <row r="38" spans="1:6" hidden="1">
      <c r="A38" s="112" t="s">
        <v>70</v>
      </c>
      <c r="B38" s="113">
        <f t="shared" ref="B38:B46" si="3">E38+F38</f>
        <v>17220900</v>
      </c>
      <c r="C38" s="143">
        <v>45322</v>
      </c>
      <c r="D38" s="143">
        <v>45322</v>
      </c>
      <c r="E38" s="149">
        <v>4761600</v>
      </c>
      <c r="F38" s="149">
        <v>12459300</v>
      </c>
    </row>
    <row r="39" spans="1:6" hidden="1">
      <c r="A39" s="112" t="s">
        <v>105</v>
      </c>
      <c r="B39" s="113">
        <f t="shared" si="3"/>
        <v>5640700</v>
      </c>
      <c r="C39" s="143">
        <v>45351</v>
      </c>
      <c r="D39" s="143">
        <v>45350</v>
      </c>
      <c r="E39" s="149">
        <v>2095200</v>
      </c>
      <c r="F39" s="149">
        <v>3545500</v>
      </c>
    </row>
    <row r="40" spans="1:6" hidden="1">
      <c r="A40" s="112" t="s">
        <v>106</v>
      </c>
      <c r="B40" s="113">
        <f t="shared" si="3"/>
        <v>22388400</v>
      </c>
      <c r="C40" s="143">
        <v>45382</v>
      </c>
      <c r="D40" s="143">
        <v>45383</v>
      </c>
      <c r="E40" s="149">
        <v>6274600</v>
      </c>
      <c r="F40" s="149">
        <v>16113800</v>
      </c>
    </row>
    <row r="41" spans="1:6" hidden="1">
      <c r="A41" s="112" t="s">
        <v>73</v>
      </c>
      <c r="B41" s="113">
        <f t="shared" si="3"/>
        <v>8549800</v>
      </c>
      <c r="C41" s="143">
        <v>45412</v>
      </c>
      <c r="D41" s="143">
        <v>45412</v>
      </c>
      <c r="E41" s="149">
        <v>3515600</v>
      </c>
      <c r="F41" s="149">
        <v>5034200</v>
      </c>
    </row>
    <row r="42" spans="1:6" hidden="1">
      <c r="A42" s="112" t="s">
        <v>74</v>
      </c>
      <c r="B42" s="113">
        <f t="shared" si="3"/>
        <v>9151500</v>
      </c>
      <c r="C42" s="143">
        <v>45443</v>
      </c>
      <c r="D42" s="143">
        <v>45443</v>
      </c>
      <c r="E42" s="149">
        <v>4959300</v>
      </c>
      <c r="F42" s="149">
        <v>4192200</v>
      </c>
    </row>
    <row r="43" spans="1:6" hidden="1">
      <c r="A43" s="112" t="s">
        <v>75</v>
      </c>
      <c r="B43" s="113">
        <f t="shared" si="3"/>
        <v>7794100</v>
      </c>
      <c r="C43" s="143">
        <v>45474</v>
      </c>
      <c r="D43" s="143">
        <v>45471</v>
      </c>
      <c r="E43" s="149">
        <v>2427600</v>
      </c>
      <c r="F43" s="149">
        <v>5366500</v>
      </c>
    </row>
    <row r="44" spans="1:6">
      <c r="A44" s="112" t="s">
        <v>107</v>
      </c>
      <c r="B44" s="113">
        <f t="shared" si="3"/>
        <v>9167800</v>
      </c>
      <c r="C44" s="143">
        <v>45504</v>
      </c>
      <c r="D44" s="143">
        <v>45499</v>
      </c>
      <c r="E44" s="162">
        <v>3945700</v>
      </c>
      <c r="F44" s="149">
        <v>5222100</v>
      </c>
    </row>
    <row r="45" spans="1:6">
      <c r="A45" s="112" t="s">
        <v>64</v>
      </c>
      <c r="B45" s="113">
        <f t="shared" si="3"/>
        <v>16001400</v>
      </c>
      <c r="C45" s="143">
        <v>45537</v>
      </c>
      <c r="D45" s="143">
        <v>45537</v>
      </c>
      <c r="E45" s="162">
        <v>4582600</v>
      </c>
      <c r="F45" s="149">
        <v>11418800</v>
      </c>
    </row>
    <row r="46" spans="1:6">
      <c r="A46" s="112" t="s">
        <v>103</v>
      </c>
      <c r="B46" s="113">
        <f t="shared" si="3"/>
        <v>20709400</v>
      </c>
      <c r="C46" s="143">
        <v>45565</v>
      </c>
      <c r="D46" s="143">
        <v>45565</v>
      </c>
      <c r="E46" s="162">
        <v>5298000</v>
      </c>
      <c r="F46" s="149">
        <v>15411400</v>
      </c>
    </row>
    <row r="47" spans="1:6">
      <c r="A47" s="112" t="s">
        <v>67</v>
      </c>
      <c r="B47" s="113">
        <f t="shared" ref="B47:B48" si="4">E47+F47</f>
        <v>11546600</v>
      </c>
      <c r="C47" s="143">
        <v>45596</v>
      </c>
      <c r="D47" s="143">
        <v>45593</v>
      </c>
      <c r="E47" s="162">
        <v>6040000</v>
      </c>
      <c r="F47" s="149">
        <v>5506600</v>
      </c>
    </row>
    <row r="48" spans="1:6">
      <c r="A48" s="112" t="s">
        <v>68</v>
      </c>
      <c r="B48" s="113">
        <f t="shared" si="4"/>
        <v>5696600</v>
      </c>
      <c r="C48" s="143">
        <v>45628</v>
      </c>
      <c r="D48" s="143">
        <v>45624</v>
      </c>
      <c r="E48" s="162">
        <v>2988300</v>
      </c>
      <c r="F48" s="149">
        <v>2708300</v>
      </c>
    </row>
    <row r="49" spans="1:6">
      <c r="A49" s="112" t="s">
        <v>112</v>
      </c>
      <c r="B49" s="113">
        <f t="shared" ref="B49:B60" si="5">E49+F49</f>
        <v>7394900</v>
      </c>
      <c r="C49" s="143">
        <v>45663</v>
      </c>
      <c r="D49" s="143">
        <v>45652</v>
      </c>
      <c r="E49" s="162">
        <v>4166300</v>
      </c>
      <c r="F49" s="149">
        <v>3228600</v>
      </c>
    </row>
    <row r="50" spans="1:6">
      <c r="A50" s="112" t="s">
        <v>70</v>
      </c>
      <c r="B50" s="113">
        <f t="shared" si="5"/>
        <v>12595700</v>
      </c>
      <c r="C50" s="143">
        <v>45688</v>
      </c>
      <c r="D50" s="143">
        <v>45688</v>
      </c>
      <c r="E50" s="162">
        <v>4614500</v>
      </c>
      <c r="F50" s="149">
        <v>7981200</v>
      </c>
    </row>
    <row r="51" spans="1:6">
      <c r="A51" s="112" t="s">
        <v>71</v>
      </c>
      <c r="B51" s="113">
        <f t="shared" si="5"/>
        <v>7341000</v>
      </c>
      <c r="C51" s="143">
        <v>45716</v>
      </c>
      <c r="D51" s="143">
        <v>45713</v>
      </c>
      <c r="E51" s="162">
        <v>3458700</v>
      </c>
      <c r="F51" s="149">
        <v>3882300</v>
      </c>
    </row>
    <row r="52" spans="1:6">
      <c r="A52" s="112" t="s">
        <v>72</v>
      </c>
      <c r="B52" s="113">
        <f t="shared" si="5"/>
        <v>13750600</v>
      </c>
      <c r="C52" s="143">
        <v>45747</v>
      </c>
      <c r="D52" s="143">
        <v>45747</v>
      </c>
      <c r="E52" s="162">
        <v>3017400</v>
      </c>
      <c r="F52" s="149">
        <v>10733200</v>
      </c>
    </row>
    <row r="53" spans="1:6">
      <c r="A53" s="112" t="s">
        <v>73</v>
      </c>
      <c r="B53" s="113">
        <f>E53+F53+3700</f>
        <v>8165000</v>
      </c>
      <c r="C53" s="143">
        <v>45777</v>
      </c>
      <c r="D53" s="143">
        <v>45777</v>
      </c>
      <c r="E53" s="162">
        <v>2313200</v>
      </c>
      <c r="F53" s="149">
        <v>5848100</v>
      </c>
    </row>
    <row r="54" spans="1:6">
      <c r="A54" s="112" t="s">
        <v>74</v>
      </c>
      <c r="B54" s="113">
        <f t="shared" si="5"/>
        <v>9290000</v>
      </c>
      <c r="C54" s="143">
        <v>45810</v>
      </c>
      <c r="D54" s="143">
        <v>45810</v>
      </c>
      <c r="E54" s="162">
        <v>3571300</v>
      </c>
      <c r="F54" s="149">
        <v>5718700</v>
      </c>
    </row>
    <row r="55" spans="1:6">
      <c r="A55" s="112" t="s">
        <v>75</v>
      </c>
      <c r="B55" s="113">
        <f>E55+F55-3700</f>
        <v>11875700</v>
      </c>
      <c r="C55" s="143">
        <v>45838</v>
      </c>
      <c r="D55" s="143">
        <v>45838</v>
      </c>
      <c r="E55" s="162">
        <v>3964400</v>
      </c>
      <c r="F55" s="149">
        <v>7915000</v>
      </c>
    </row>
    <row r="56" spans="1:6">
      <c r="A56" s="112" t="s">
        <v>107</v>
      </c>
      <c r="B56" s="113">
        <f t="shared" si="5"/>
        <v>8123200</v>
      </c>
      <c r="C56" s="143">
        <v>45869</v>
      </c>
      <c r="D56" s="143">
        <v>45863</v>
      </c>
      <c r="E56" s="149">
        <v>4709700</v>
      </c>
      <c r="F56" s="149">
        <v>3413500</v>
      </c>
    </row>
    <row r="57" spans="1:6">
      <c r="A57" s="112" t="s">
        <v>64</v>
      </c>
      <c r="B57" s="113">
        <f t="shared" si="5"/>
        <v>11522700</v>
      </c>
      <c r="C57" s="143">
        <v>45901</v>
      </c>
      <c r="D57" s="143">
        <v>45897</v>
      </c>
      <c r="E57" s="149">
        <v>3068000</v>
      </c>
      <c r="F57" s="149">
        <v>8454700</v>
      </c>
    </row>
    <row r="58" spans="1:6">
      <c r="A58" s="112" t="s">
        <v>103</v>
      </c>
      <c r="B58" s="113">
        <f t="shared" si="5"/>
        <v>8580500</v>
      </c>
      <c r="C58" s="143">
        <v>45930</v>
      </c>
      <c r="D58" s="143"/>
      <c r="E58" s="149">
        <v>4452400</v>
      </c>
      <c r="F58" s="149">
        <v>4128100</v>
      </c>
    </row>
    <row r="59" spans="1:6">
      <c r="A59" s="112" t="s">
        <v>117</v>
      </c>
      <c r="B59" s="113">
        <f t="shared" si="5"/>
        <v>9073900</v>
      </c>
      <c r="C59" s="143">
        <v>45961</v>
      </c>
      <c r="D59" s="143"/>
      <c r="E59" s="149">
        <v>3257800</v>
      </c>
      <c r="F59" s="149">
        <v>5816100</v>
      </c>
    </row>
    <row r="60" spans="1:6">
      <c r="A60" s="112" t="s">
        <v>68</v>
      </c>
      <c r="B60" s="113">
        <f t="shared" si="5"/>
        <v>11462600</v>
      </c>
      <c r="C60" s="143">
        <v>45992</v>
      </c>
      <c r="D60" s="143"/>
      <c r="E60" s="149">
        <v>4306000</v>
      </c>
      <c r="F60" s="149">
        <v>7156600</v>
      </c>
    </row>
    <row r="61" spans="1:6">
      <c r="B61" s="115">
        <f>SUM(B58:B60)</f>
        <v>29117000</v>
      </c>
      <c r="E61" s="149">
        <f>SUM(E56:E59)</f>
        <v>15487900</v>
      </c>
      <c r="F61" s="115">
        <f>SUM(F57:F59)</f>
        <v>18398900</v>
      </c>
    </row>
  </sheetData>
  <mergeCells count="1">
    <mergeCell ref="B2:D3"/>
  </mergeCells>
  <phoneticPr fontId="1"/>
  <printOptions gridLines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0E97-BA06-486B-BAD6-E46C78E6A26B}">
  <sheetPr>
    <pageSetUpPr fitToPage="1"/>
  </sheetPr>
  <dimension ref="A3:R53"/>
  <sheetViews>
    <sheetView zoomScale="70" zoomScaleNormal="70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R4" sqref="R4"/>
    </sheetView>
  </sheetViews>
  <sheetFormatPr defaultRowHeight="14.25"/>
  <cols>
    <col min="1" max="1" width="4.25" style="123" bestFit="1" customWidth="1"/>
    <col min="2" max="2" width="14.125" style="123" customWidth="1"/>
    <col min="3" max="3" width="13.25" style="124" bestFit="1" customWidth="1"/>
    <col min="4" max="4" width="9.5" style="123" customWidth="1"/>
    <col min="5" max="5" width="18" style="123" customWidth="1"/>
    <col min="6" max="6" width="11.625" style="123" customWidth="1"/>
    <col min="7" max="7" width="9.625" style="138" customWidth="1"/>
    <col min="8" max="9" width="14.375" style="125" customWidth="1"/>
    <col min="10" max="10" width="12" style="125" bestFit="1" customWidth="1"/>
    <col min="11" max="11" width="7" style="125" customWidth="1"/>
    <col min="12" max="12" width="12.875" style="125" customWidth="1"/>
    <col min="13" max="13" width="14.75" style="125" customWidth="1"/>
    <col min="14" max="14" width="11.375" style="123" customWidth="1"/>
    <col min="15" max="15" width="12" style="123" bestFit="1" customWidth="1"/>
    <col min="16" max="17" width="16.75" style="125" customWidth="1"/>
    <col min="18" max="18" width="11.625" style="125" bestFit="1" customWidth="1"/>
    <col min="19" max="19" width="13.625" style="123" customWidth="1"/>
    <col min="20" max="16384" width="9" style="123"/>
  </cols>
  <sheetData>
    <row r="3" spans="1:18" s="128" customFormat="1" ht="74.25" customHeight="1">
      <c r="B3" s="128" t="s">
        <v>54</v>
      </c>
      <c r="C3" s="129" t="s">
        <v>85</v>
      </c>
      <c r="D3" s="128" t="s">
        <v>50</v>
      </c>
      <c r="E3" s="128" t="s">
        <v>51</v>
      </c>
      <c r="F3" s="130" t="s">
        <v>77</v>
      </c>
      <c r="G3" s="156" t="s">
        <v>94</v>
      </c>
      <c r="H3" s="131" t="s">
        <v>86</v>
      </c>
      <c r="I3" s="135" t="s">
        <v>93</v>
      </c>
      <c r="J3" s="131" t="s">
        <v>87</v>
      </c>
      <c r="K3" s="132" t="s">
        <v>88</v>
      </c>
      <c r="L3" s="131" t="s">
        <v>89</v>
      </c>
      <c r="M3" s="131" t="s">
        <v>90</v>
      </c>
      <c r="N3" s="133" t="s">
        <v>82</v>
      </c>
      <c r="O3" s="133" t="s">
        <v>83</v>
      </c>
      <c r="P3" s="134" t="s">
        <v>80</v>
      </c>
      <c r="Q3" s="134" t="s">
        <v>81</v>
      </c>
      <c r="R3" s="122" t="s">
        <v>84</v>
      </c>
    </row>
    <row r="4" spans="1:18" s="139" customFormat="1" ht="22.5" customHeight="1">
      <c r="A4" s="139">
        <v>1</v>
      </c>
      <c r="B4" s="139">
        <v>202504</v>
      </c>
      <c r="C4" s="140">
        <f>SUMIF(データ!I:I,A4,データ!B:B)</f>
        <v>45762</v>
      </c>
      <c r="D4" s="139" t="s">
        <v>116</v>
      </c>
      <c r="E4" s="139" t="str">
        <f>_xlfn.XLOOKUP(A4,データ!I:I,データ!C:C,"")</f>
        <v>81201516750</v>
      </c>
      <c r="F4" s="139">
        <v>315</v>
      </c>
      <c r="G4" s="161">
        <f t="shared" ref="G4:G51" si="0">H4/F4</f>
        <v>38472.076190476189</v>
      </c>
      <c r="H4" s="141">
        <v>12118704</v>
      </c>
      <c r="I4" s="125">
        <f t="shared" ref="I4:I51" si="1">FLOOR(H4,1000)</f>
        <v>12118000</v>
      </c>
      <c r="J4" s="141">
        <v>1211700</v>
      </c>
      <c r="K4" s="141">
        <v>0</v>
      </c>
      <c r="L4" s="142">
        <f t="shared" ref="L4:L51" si="2">ROUNDDOWN(I4*7.8/100,-2)</f>
        <v>945200</v>
      </c>
      <c r="M4" s="142">
        <f t="shared" ref="M4:M51" si="3">J4-L4</f>
        <v>266500</v>
      </c>
      <c r="N4" s="139">
        <v>315</v>
      </c>
      <c r="O4" s="142">
        <f t="shared" ref="O4:O51" si="4">ROUND(I4/F4*N4,-2)</f>
        <v>12118000</v>
      </c>
      <c r="P4" s="142">
        <f t="shared" ref="P4:P51" si="5">ROUNDDOWN(O4*7.8/100,-2)</f>
        <v>945200</v>
      </c>
      <c r="Q4" s="142">
        <f t="shared" ref="Q4:Q51" si="6">R4-P4</f>
        <v>266500</v>
      </c>
      <c r="R4" s="141">
        <v>1211700</v>
      </c>
    </row>
    <row r="5" spans="1:18" s="139" customFormat="1" ht="22.5" customHeight="1">
      <c r="A5" s="139">
        <f>A4+1</f>
        <v>2</v>
      </c>
      <c r="B5" s="139">
        <v>202504</v>
      </c>
      <c r="C5" s="140">
        <v>45762</v>
      </c>
      <c r="D5" s="139" t="s">
        <v>13</v>
      </c>
      <c r="E5" s="139">
        <v>81201517600</v>
      </c>
      <c r="F5" s="139">
        <v>950</v>
      </c>
      <c r="G5" s="161">
        <f>H5/F5</f>
        <v>39036.255789473682</v>
      </c>
      <c r="H5" s="141">
        <v>37084443</v>
      </c>
      <c r="I5" s="125">
        <f t="shared" si="1"/>
        <v>37084000</v>
      </c>
      <c r="J5" s="141">
        <v>3708300</v>
      </c>
      <c r="K5" s="141">
        <v>0</v>
      </c>
      <c r="L5" s="142">
        <f>ROUNDDOWN(I5*7.8/100,-2)</f>
        <v>2892500</v>
      </c>
      <c r="M5" s="142">
        <f>J5-L5</f>
        <v>815800</v>
      </c>
      <c r="N5" s="139">
        <v>500</v>
      </c>
      <c r="O5" s="142">
        <f>ROUND(I5/F5*N5,-2)</f>
        <v>19517900</v>
      </c>
      <c r="P5" s="142">
        <f>ROUNDDOWN(O5*7.8/100,-2)</f>
        <v>1522300</v>
      </c>
      <c r="Q5" s="142">
        <f t="shared" si="6"/>
        <v>429400</v>
      </c>
      <c r="R5" s="141">
        <v>1951700</v>
      </c>
    </row>
    <row r="6" spans="1:18" s="139" customFormat="1" ht="22.5" customHeight="1">
      <c r="A6" s="139">
        <f t="shared" ref="A6:A51" si="7">A5+1</f>
        <v>3</v>
      </c>
      <c r="B6" s="139">
        <v>202504</v>
      </c>
      <c r="C6" s="140">
        <v>45777</v>
      </c>
      <c r="D6" s="139" t="s">
        <v>13</v>
      </c>
      <c r="E6" s="139">
        <v>81201793250</v>
      </c>
      <c r="F6" s="139">
        <v>870</v>
      </c>
      <c r="G6" s="161">
        <f t="shared" si="0"/>
        <v>36820.07701149425</v>
      </c>
      <c r="H6" s="141">
        <v>32033467</v>
      </c>
      <c r="I6" s="125">
        <f t="shared" si="1"/>
        <v>32033000</v>
      </c>
      <c r="J6" s="141">
        <v>3203200</v>
      </c>
      <c r="K6" s="141">
        <v>0</v>
      </c>
      <c r="L6" s="142">
        <f t="shared" si="2"/>
        <v>2498500</v>
      </c>
      <c r="M6" s="142">
        <f t="shared" si="3"/>
        <v>704700</v>
      </c>
      <c r="N6" s="139">
        <v>420</v>
      </c>
      <c r="O6" s="142">
        <f t="shared" si="4"/>
        <v>15464200</v>
      </c>
      <c r="P6" s="142">
        <f t="shared" si="5"/>
        <v>1206200</v>
      </c>
      <c r="Q6" s="142">
        <f t="shared" si="6"/>
        <v>340100</v>
      </c>
      <c r="R6" s="141">
        <v>1546300</v>
      </c>
    </row>
    <row r="7" spans="1:18" s="144" customFormat="1" ht="22.5" customHeight="1">
      <c r="A7" s="139">
        <f t="shared" si="7"/>
        <v>4</v>
      </c>
      <c r="B7" s="144">
        <v>202505</v>
      </c>
      <c r="C7" s="145">
        <v>45798</v>
      </c>
      <c r="D7" s="144" t="s">
        <v>13</v>
      </c>
      <c r="E7" s="144">
        <v>81202182930</v>
      </c>
      <c r="F7" s="144">
        <v>810</v>
      </c>
      <c r="G7" s="163">
        <f t="shared" si="0"/>
        <v>37878.082716049379</v>
      </c>
      <c r="H7" s="146">
        <v>30681247</v>
      </c>
      <c r="I7" s="125">
        <f t="shared" si="1"/>
        <v>30681000</v>
      </c>
      <c r="J7" s="146">
        <v>3068000</v>
      </c>
      <c r="K7" s="146">
        <v>0</v>
      </c>
      <c r="L7" s="147">
        <f t="shared" si="2"/>
        <v>2393100</v>
      </c>
      <c r="M7" s="147">
        <f t="shared" si="3"/>
        <v>674900</v>
      </c>
      <c r="N7" s="144">
        <v>810</v>
      </c>
      <c r="O7" s="147">
        <f t="shared" si="4"/>
        <v>30681000</v>
      </c>
      <c r="P7" s="147">
        <f t="shared" si="5"/>
        <v>2393100</v>
      </c>
      <c r="Q7" s="147">
        <f t="shared" si="6"/>
        <v>674900</v>
      </c>
      <c r="R7" s="146">
        <v>3068000</v>
      </c>
    </row>
    <row r="8" spans="1:18" s="144" customFormat="1" ht="22.5" customHeight="1">
      <c r="A8" s="139">
        <f t="shared" si="7"/>
        <v>5</v>
      </c>
      <c r="B8" s="144">
        <v>202505</v>
      </c>
      <c r="C8" s="145">
        <v>45799</v>
      </c>
      <c r="D8" s="144" t="s">
        <v>48</v>
      </c>
      <c r="E8" s="144">
        <v>81202213510</v>
      </c>
      <c r="F8" s="144">
        <v>533.67999999999995</v>
      </c>
      <c r="G8" s="163">
        <f t="shared" ref="G8" si="8">H8/F8</f>
        <v>38155.194123819521</v>
      </c>
      <c r="H8" s="146">
        <v>20362664</v>
      </c>
      <c r="I8" s="125">
        <f t="shared" si="1"/>
        <v>20362000</v>
      </c>
      <c r="J8" s="146">
        <v>2036100</v>
      </c>
      <c r="K8" s="146">
        <v>0</v>
      </c>
      <c r="L8" s="147">
        <f t="shared" ref="L8" si="9">ROUNDDOWN(I8*7.8/100,-2)</f>
        <v>1588200</v>
      </c>
      <c r="M8" s="147">
        <f t="shared" ref="M8" si="10">J8-L8</f>
        <v>447900</v>
      </c>
      <c r="N8" s="144">
        <v>0</v>
      </c>
      <c r="O8" s="147">
        <f t="shared" ref="O8" si="11">ROUND(I8/F8*N8,-2)</f>
        <v>0</v>
      </c>
      <c r="P8" s="147">
        <f t="shared" ref="P8" si="12">ROUNDDOWN(O8*7.8/100,-2)</f>
        <v>0</v>
      </c>
      <c r="Q8" s="147">
        <f t="shared" ref="Q8" si="13">R8-P8</f>
        <v>0</v>
      </c>
      <c r="R8" s="146">
        <v>0</v>
      </c>
    </row>
    <row r="9" spans="1:18" s="144" customFormat="1" ht="22.5" customHeight="1">
      <c r="A9" s="139">
        <f t="shared" si="7"/>
        <v>6</v>
      </c>
      <c r="B9" s="144">
        <v>202505</v>
      </c>
      <c r="C9" s="145">
        <v>45800</v>
      </c>
      <c r="D9" s="144" t="s">
        <v>13</v>
      </c>
      <c r="E9" s="144">
        <v>81202223160</v>
      </c>
      <c r="F9" s="144">
        <v>350</v>
      </c>
      <c r="G9" s="163">
        <f t="shared" si="0"/>
        <v>37878.080000000002</v>
      </c>
      <c r="H9" s="146">
        <v>13257328</v>
      </c>
      <c r="I9" s="125">
        <f t="shared" si="1"/>
        <v>13257000</v>
      </c>
      <c r="J9" s="146">
        <v>1325600</v>
      </c>
      <c r="K9" s="146">
        <v>0</v>
      </c>
      <c r="L9" s="147">
        <f t="shared" si="2"/>
        <v>1034000</v>
      </c>
      <c r="M9" s="147">
        <f t="shared" si="3"/>
        <v>291600</v>
      </c>
      <c r="N9" s="144">
        <v>0</v>
      </c>
      <c r="O9" s="147">
        <f t="shared" si="4"/>
        <v>0</v>
      </c>
      <c r="P9" s="147">
        <f t="shared" si="5"/>
        <v>0</v>
      </c>
      <c r="Q9" s="147">
        <f t="shared" si="6"/>
        <v>0</v>
      </c>
      <c r="R9" s="146">
        <v>0</v>
      </c>
    </row>
    <row r="10" spans="1:18" s="144" customFormat="1" ht="22.5" customHeight="1">
      <c r="A10" s="139">
        <f t="shared" si="7"/>
        <v>7</v>
      </c>
      <c r="B10" s="144">
        <v>202505</v>
      </c>
      <c r="C10" s="145">
        <v>45804</v>
      </c>
      <c r="D10" s="144" t="s">
        <v>48</v>
      </c>
      <c r="E10" s="144">
        <v>81202285940</v>
      </c>
      <c r="F10" s="144">
        <v>100</v>
      </c>
      <c r="G10" s="163">
        <f t="shared" si="0"/>
        <v>38744.949999999997</v>
      </c>
      <c r="H10" s="146">
        <v>3874495</v>
      </c>
      <c r="I10" s="125">
        <f t="shared" si="1"/>
        <v>3874000</v>
      </c>
      <c r="J10" s="146">
        <v>387300</v>
      </c>
      <c r="K10" s="146">
        <v>0</v>
      </c>
      <c r="L10" s="147">
        <f t="shared" si="2"/>
        <v>302100</v>
      </c>
      <c r="M10" s="147">
        <f t="shared" si="3"/>
        <v>85200</v>
      </c>
      <c r="N10" s="144">
        <v>0</v>
      </c>
      <c r="O10" s="147">
        <f t="shared" si="4"/>
        <v>0</v>
      </c>
      <c r="P10" s="147">
        <f t="shared" si="5"/>
        <v>0</v>
      </c>
      <c r="Q10" s="147">
        <f t="shared" si="6"/>
        <v>0</v>
      </c>
      <c r="R10" s="146">
        <v>0</v>
      </c>
    </row>
    <row r="11" spans="1:18" s="144" customFormat="1" ht="22.5" customHeight="1">
      <c r="A11" s="139">
        <f t="shared" si="7"/>
        <v>8</v>
      </c>
      <c r="B11" s="144">
        <v>202505</v>
      </c>
      <c r="C11" s="145">
        <v>45805</v>
      </c>
      <c r="D11" s="144" t="s">
        <v>48</v>
      </c>
      <c r="E11" s="144">
        <v>81202301710</v>
      </c>
      <c r="F11" s="144">
        <v>380</v>
      </c>
      <c r="G11" s="163">
        <f t="shared" si="0"/>
        <v>36619.65</v>
      </c>
      <c r="H11" s="146">
        <v>13915467</v>
      </c>
      <c r="I11" s="125">
        <f t="shared" si="1"/>
        <v>13915000</v>
      </c>
      <c r="J11" s="146">
        <v>1391400</v>
      </c>
      <c r="K11" s="146">
        <v>0</v>
      </c>
      <c r="L11" s="147">
        <f t="shared" si="2"/>
        <v>1085300</v>
      </c>
      <c r="M11" s="147">
        <f t="shared" si="3"/>
        <v>306100</v>
      </c>
      <c r="N11" s="144">
        <v>0</v>
      </c>
      <c r="O11" s="147">
        <f t="shared" si="4"/>
        <v>0</v>
      </c>
      <c r="P11" s="147">
        <f t="shared" si="5"/>
        <v>0</v>
      </c>
      <c r="Q11" s="147">
        <f t="shared" si="6"/>
        <v>0</v>
      </c>
      <c r="R11" s="146">
        <v>0</v>
      </c>
    </row>
    <row r="12" spans="1:18" s="144" customFormat="1" ht="22.5" customHeight="1">
      <c r="A12" s="139">
        <f t="shared" si="7"/>
        <v>9</v>
      </c>
      <c r="B12" s="144">
        <v>202505</v>
      </c>
      <c r="C12" s="145">
        <v>45805</v>
      </c>
      <c r="D12" s="144" t="s">
        <v>48</v>
      </c>
      <c r="E12" s="144">
        <v>81202301820</v>
      </c>
      <c r="F12" s="144">
        <v>380</v>
      </c>
      <c r="G12" s="163">
        <f t="shared" si="0"/>
        <v>36619.65</v>
      </c>
      <c r="H12" s="146">
        <v>13915467</v>
      </c>
      <c r="I12" s="125">
        <f t="shared" si="1"/>
        <v>13915000</v>
      </c>
      <c r="J12" s="146">
        <v>1391400</v>
      </c>
      <c r="K12" s="146">
        <v>0</v>
      </c>
      <c r="L12" s="147">
        <f t="shared" si="2"/>
        <v>1085300</v>
      </c>
      <c r="M12" s="147">
        <f t="shared" si="3"/>
        <v>306100</v>
      </c>
      <c r="N12" s="144">
        <v>0</v>
      </c>
      <c r="O12" s="147">
        <f t="shared" si="4"/>
        <v>0</v>
      </c>
      <c r="P12" s="147">
        <f t="shared" si="5"/>
        <v>0</v>
      </c>
      <c r="Q12" s="147">
        <f t="shared" si="6"/>
        <v>0</v>
      </c>
      <c r="R12" s="146">
        <v>0</v>
      </c>
    </row>
    <row r="13" spans="1:18" s="144" customFormat="1" ht="22.5" customHeight="1">
      <c r="A13" s="139">
        <f t="shared" si="7"/>
        <v>10</v>
      </c>
      <c r="B13" s="144">
        <v>202505</v>
      </c>
      <c r="C13" s="145">
        <v>45805</v>
      </c>
      <c r="D13" s="144" t="s">
        <v>13</v>
      </c>
      <c r="E13" s="144">
        <v>81202307860</v>
      </c>
      <c r="F13" s="144">
        <v>500</v>
      </c>
      <c r="G13" s="163">
        <f t="shared" si="0"/>
        <v>38460.512000000002</v>
      </c>
      <c r="H13" s="146">
        <v>19230256</v>
      </c>
      <c r="I13" s="125">
        <f t="shared" si="1"/>
        <v>19230000</v>
      </c>
      <c r="J13" s="146">
        <v>1922900</v>
      </c>
      <c r="K13" s="146">
        <v>0</v>
      </c>
      <c r="L13" s="147">
        <f t="shared" si="2"/>
        <v>1499900</v>
      </c>
      <c r="M13" s="147">
        <f t="shared" si="3"/>
        <v>423000</v>
      </c>
      <c r="N13" s="144">
        <v>0</v>
      </c>
      <c r="O13" s="147">
        <f t="shared" si="4"/>
        <v>0</v>
      </c>
      <c r="P13" s="147">
        <f t="shared" si="5"/>
        <v>0</v>
      </c>
      <c r="Q13" s="147">
        <f t="shared" si="6"/>
        <v>0</v>
      </c>
      <c r="R13" s="146">
        <v>0</v>
      </c>
    </row>
    <row r="14" spans="1:18" s="139" customFormat="1" ht="22.5" customHeight="1">
      <c r="A14" s="139">
        <f t="shared" si="7"/>
        <v>11</v>
      </c>
      <c r="B14" s="139">
        <v>202506</v>
      </c>
      <c r="C14" s="140">
        <v>45817</v>
      </c>
      <c r="D14" s="139" t="s">
        <v>48</v>
      </c>
      <c r="E14" s="139">
        <v>81202568520</v>
      </c>
      <c r="F14" s="139">
        <v>311.73</v>
      </c>
      <c r="G14" s="161">
        <f t="shared" si="0"/>
        <v>37731.918647547558</v>
      </c>
      <c r="H14" s="141">
        <v>11762171</v>
      </c>
      <c r="I14" s="125">
        <f t="shared" si="1"/>
        <v>11762000</v>
      </c>
      <c r="J14" s="141">
        <v>1176100</v>
      </c>
      <c r="K14" s="141">
        <v>0</v>
      </c>
      <c r="L14" s="142">
        <f t="shared" si="2"/>
        <v>917400</v>
      </c>
      <c r="M14" s="142">
        <f t="shared" si="3"/>
        <v>258700</v>
      </c>
      <c r="N14" s="139">
        <v>311.73</v>
      </c>
      <c r="O14" s="142">
        <f t="shared" si="4"/>
        <v>11762000</v>
      </c>
      <c r="P14" s="142">
        <f t="shared" si="5"/>
        <v>917400</v>
      </c>
      <c r="Q14" s="142">
        <f t="shared" si="6"/>
        <v>258700</v>
      </c>
      <c r="R14" s="141">
        <v>1176100</v>
      </c>
    </row>
    <row r="15" spans="1:18" s="139" customFormat="1" ht="22.5" customHeight="1">
      <c r="A15" s="139">
        <f t="shared" si="7"/>
        <v>12</v>
      </c>
      <c r="B15" s="139">
        <v>202506</v>
      </c>
      <c r="C15" s="140">
        <v>45820</v>
      </c>
      <c r="D15" s="139" t="s">
        <v>13</v>
      </c>
      <c r="E15" s="139">
        <v>81202639000</v>
      </c>
      <c r="F15" s="139">
        <v>1030</v>
      </c>
      <c r="G15" s="161">
        <f t="shared" si="0"/>
        <v>37587.959223300968</v>
      </c>
      <c r="H15" s="141">
        <v>38715598</v>
      </c>
      <c r="I15" s="125">
        <f t="shared" si="1"/>
        <v>38715000</v>
      </c>
      <c r="J15" s="141">
        <v>3871400</v>
      </c>
      <c r="K15" s="141">
        <v>0</v>
      </c>
      <c r="L15" s="142">
        <f t="shared" si="2"/>
        <v>3019700</v>
      </c>
      <c r="M15" s="142">
        <f t="shared" si="3"/>
        <v>851700</v>
      </c>
      <c r="N15" s="139">
        <v>480</v>
      </c>
      <c r="O15" s="142">
        <f t="shared" si="4"/>
        <v>18041900</v>
      </c>
      <c r="P15" s="142">
        <f t="shared" si="5"/>
        <v>1407200</v>
      </c>
      <c r="Q15" s="142">
        <f t="shared" si="6"/>
        <v>397000</v>
      </c>
      <c r="R15" s="141">
        <v>1804200</v>
      </c>
    </row>
    <row r="16" spans="1:18" s="139" customFormat="1" ht="22.5" customHeight="1">
      <c r="A16" s="139">
        <f t="shared" si="7"/>
        <v>13</v>
      </c>
      <c r="B16" s="139">
        <v>202506</v>
      </c>
      <c r="C16" s="140">
        <v>45834</v>
      </c>
      <c r="D16" s="139" t="s">
        <v>13</v>
      </c>
      <c r="E16" s="139">
        <v>81202932150</v>
      </c>
      <c r="F16" s="139">
        <v>960</v>
      </c>
      <c r="G16" s="161">
        <f t="shared" si="0"/>
        <v>36803.841666666667</v>
      </c>
      <c r="H16" s="141">
        <v>35331688</v>
      </c>
      <c r="I16" s="125">
        <f t="shared" si="1"/>
        <v>35331000</v>
      </c>
      <c r="J16" s="141">
        <v>3533000</v>
      </c>
      <c r="K16" s="141">
        <v>0</v>
      </c>
      <c r="L16" s="142">
        <f t="shared" si="2"/>
        <v>2755800</v>
      </c>
      <c r="M16" s="142">
        <f t="shared" si="3"/>
        <v>777200</v>
      </c>
      <c r="N16" s="139">
        <v>400</v>
      </c>
      <c r="O16" s="142">
        <f t="shared" si="4"/>
        <v>14721300</v>
      </c>
      <c r="P16" s="142">
        <f t="shared" si="5"/>
        <v>1148200</v>
      </c>
      <c r="Q16" s="142">
        <f t="shared" si="6"/>
        <v>323900</v>
      </c>
      <c r="R16" s="141">
        <v>1472100</v>
      </c>
    </row>
    <row r="17" spans="1:18" s="139" customFormat="1" ht="22.5" customHeight="1">
      <c r="A17" s="139">
        <f t="shared" si="7"/>
        <v>14</v>
      </c>
      <c r="B17" s="139">
        <v>202507</v>
      </c>
      <c r="C17" s="140">
        <v>45842</v>
      </c>
      <c r="D17" s="139" t="s">
        <v>48</v>
      </c>
      <c r="E17" s="139">
        <v>81203102140</v>
      </c>
      <c r="F17" s="139">
        <v>246.5</v>
      </c>
      <c r="G17" s="161">
        <f t="shared" si="0"/>
        <v>38350.896551724138</v>
      </c>
      <c r="H17" s="141">
        <v>9453496</v>
      </c>
      <c r="I17" s="125">
        <f t="shared" si="1"/>
        <v>9453000</v>
      </c>
      <c r="J17" s="141">
        <v>945200</v>
      </c>
      <c r="K17" s="141">
        <v>0</v>
      </c>
      <c r="L17" s="142">
        <f t="shared" si="2"/>
        <v>737300</v>
      </c>
      <c r="M17" s="142">
        <f t="shared" si="3"/>
        <v>207900</v>
      </c>
      <c r="N17" s="139">
        <v>0</v>
      </c>
      <c r="O17" s="142">
        <f t="shared" si="4"/>
        <v>0</v>
      </c>
      <c r="P17" s="142">
        <f t="shared" si="5"/>
        <v>0</v>
      </c>
      <c r="Q17" s="142">
        <f t="shared" si="6"/>
        <v>0</v>
      </c>
      <c r="R17" s="141">
        <v>0</v>
      </c>
    </row>
    <row r="18" spans="1:18" s="139" customFormat="1" ht="22.5" customHeight="1">
      <c r="A18" s="139">
        <f t="shared" si="7"/>
        <v>15</v>
      </c>
      <c r="B18" s="139">
        <v>202507</v>
      </c>
      <c r="C18" s="140">
        <v>45842</v>
      </c>
      <c r="D18" s="139" t="s">
        <v>48</v>
      </c>
      <c r="E18" s="139">
        <v>81203102250</v>
      </c>
      <c r="F18" s="139">
        <v>225</v>
      </c>
      <c r="G18" s="161">
        <f t="shared" si="0"/>
        <v>38350.893333333333</v>
      </c>
      <c r="H18" s="141">
        <v>8628951</v>
      </c>
      <c r="I18" s="125">
        <f t="shared" si="1"/>
        <v>8628000</v>
      </c>
      <c r="J18" s="141">
        <v>862600</v>
      </c>
      <c r="K18" s="141">
        <v>0</v>
      </c>
      <c r="L18" s="142">
        <f t="shared" si="2"/>
        <v>672900</v>
      </c>
      <c r="M18" s="142">
        <f t="shared" si="3"/>
        <v>189700</v>
      </c>
      <c r="N18" s="139">
        <v>0</v>
      </c>
      <c r="O18" s="142">
        <f t="shared" si="4"/>
        <v>0</v>
      </c>
      <c r="P18" s="142">
        <f t="shared" si="5"/>
        <v>0</v>
      </c>
      <c r="Q18" s="142">
        <f t="shared" si="6"/>
        <v>0</v>
      </c>
      <c r="R18" s="141">
        <v>0</v>
      </c>
    </row>
    <row r="19" spans="1:18" s="139" customFormat="1" ht="22.5" customHeight="1">
      <c r="A19" s="139">
        <f t="shared" si="7"/>
        <v>16</v>
      </c>
      <c r="B19" s="139">
        <v>202507</v>
      </c>
      <c r="C19" s="140">
        <v>45856</v>
      </c>
      <c r="D19" s="139" t="s">
        <v>13</v>
      </c>
      <c r="E19" s="139">
        <v>81203371750</v>
      </c>
      <c r="F19" s="139">
        <v>1690</v>
      </c>
      <c r="G19" s="161">
        <f t="shared" si="0"/>
        <v>36604.770414201186</v>
      </c>
      <c r="H19" s="141">
        <v>61862062</v>
      </c>
      <c r="I19" s="125">
        <f t="shared" si="1"/>
        <v>61862000</v>
      </c>
      <c r="J19" s="141">
        <v>6186100</v>
      </c>
      <c r="K19" s="141">
        <v>0</v>
      </c>
      <c r="L19" s="142">
        <f t="shared" si="2"/>
        <v>4825200</v>
      </c>
      <c r="M19" s="142">
        <f t="shared" si="3"/>
        <v>1360900</v>
      </c>
      <c r="N19" s="139">
        <v>890</v>
      </c>
      <c r="O19" s="142">
        <f t="shared" si="4"/>
        <v>32578200</v>
      </c>
      <c r="P19" s="142">
        <f t="shared" si="5"/>
        <v>2541000</v>
      </c>
      <c r="Q19" s="142">
        <f t="shared" si="6"/>
        <v>716800</v>
      </c>
      <c r="R19" s="141">
        <v>3257800</v>
      </c>
    </row>
    <row r="20" spans="1:18" s="139" customFormat="1" ht="22.5" customHeight="1">
      <c r="A20" s="139">
        <f t="shared" si="7"/>
        <v>17</v>
      </c>
      <c r="B20" s="139">
        <v>202507</v>
      </c>
      <c r="C20" s="140">
        <v>45855</v>
      </c>
      <c r="D20" s="139" t="s">
        <v>48</v>
      </c>
      <c r="E20" s="139">
        <v>81203343860</v>
      </c>
      <c r="F20" s="139">
        <v>300</v>
      </c>
      <c r="G20" s="161">
        <f t="shared" si="0"/>
        <v>36005.14</v>
      </c>
      <c r="H20" s="141">
        <v>10801542</v>
      </c>
      <c r="I20" s="125">
        <f t="shared" si="1"/>
        <v>10801000</v>
      </c>
      <c r="J20" s="141">
        <v>1080000</v>
      </c>
      <c r="K20" s="141">
        <v>0</v>
      </c>
      <c r="L20" s="142">
        <f t="shared" si="2"/>
        <v>842400</v>
      </c>
      <c r="M20" s="142">
        <f t="shared" si="3"/>
        <v>237600</v>
      </c>
      <c r="N20" s="139">
        <v>0</v>
      </c>
      <c r="O20" s="142">
        <f t="shared" si="4"/>
        <v>0</v>
      </c>
      <c r="P20" s="142">
        <f t="shared" si="5"/>
        <v>0</v>
      </c>
      <c r="Q20" s="142">
        <f t="shared" si="6"/>
        <v>0</v>
      </c>
      <c r="R20" s="141">
        <v>0</v>
      </c>
    </row>
    <row r="21" spans="1:18" ht="22.5" customHeight="1">
      <c r="A21" s="139">
        <f t="shared" si="7"/>
        <v>18</v>
      </c>
      <c r="B21" s="123">
        <v>202508</v>
      </c>
      <c r="C21" s="124">
        <v>45874</v>
      </c>
      <c r="D21" s="123" t="s">
        <v>48</v>
      </c>
      <c r="E21" s="123">
        <v>81203653410</v>
      </c>
      <c r="F21" s="123">
        <v>315</v>
      </c>
      <c r="G21" s="157">
        <f t="shared" si="0"/>
        <v>40306.857142857145</v>
      </c>
      <c r="H21" s="125">
        <v>12696660</v>
      </c>
      <c r="I21" s="125">
        <f t="shared" si="1"/>
        <v>12696000</v>
      </c>
      <c r="J21" s="125">
        <v>1269400</v>
      </c>
      <c r="K21" s="125">
        <v>0</v>
      </c>
      <c r="L21" s="126">
        <f t="shared" si="2"/>
        <v>990200</v>
      </c>
      <c r="M21" s="126">
        <f t="shared" si="3"/>
        <v>279200</v>
      </c>
      <c r="N21" s="123">
        <v>315</v>
      </c>
      <c r="O21" s="126">
        <f t="shared" si="4"/>
        <v>12696000</v>
      </c>
      <c r="P21" s="126">
        <f t="shared" si="5"/>
        <v>990200</v>
      </c>
      <c r="Q21" s="126">
        <f t="shared" si="6"/>
        <v>279200</v>
      </c>
      <c r="R21" s="125">
        <v>1269400</v>
      </c>
    </row>
    <row r="22" spans="1:18" ht="22.5" customHeight="1">
      <c r="A22" s="139">
        <f t="shared" si="7"/>
        <v>19</v>
      </c>
      <c r="B22" s="123">
        <v>202508</v>
      </c>
      <c r="C22" s="124">
        <v>45875</v>
      </c>
      <c r="D22" s="123" t="s">
        <v>48</v>
      </c>
      <c r="E22" s="123">
        <v>81203687010</v>
      </c>
      <c r="F22" s="123">
        <v>675.45</v>
      </c>
      <c r="G22" s="157">
        <f t="shared" si="0"/>
        <v>39385.807979865269</v>
      </c>
      <c r="H22" s="125">
        <v>26603144</v>
      </c>
      <c r="I22" s="125">
        <f t="shared" si="1"/>
        <v>26603000</v>
      </c>
      <c r="J22" s="125">
        <v>2660200</v>
      </c>
      <c r="K22" s="125">
        <v>0</v>
      </c>
      <c r="L22" s="126">
        <f t="shared" si="2"/>
        <v>2075000</v>
      </c>
      <c r="M22" s="126">
        <f t="shared" si="3"/>
        <v>585200</v>
      </c>
      <c r="N22" s="123">
        <v>0</v>
      </c>
      <c r="O22" s="126">
        <f t="shared" si="4"/>
        <v>0</v>
      </c>
      <c r="P22" s="126">
        <f t="shared" si="5"/>
        <v>0</v>
      </c>
      <c r="Q22" s="126">
        <f t="shared" si="6"/>
        <v>0</v>
      </c>
      <c r="R22" s="125">
        <v>0</v>
      </c>
    </row>
    <row r="23" spans="1:18" ht="22.5" customHeight="1">
      <c r="A23" s="139">
        <f t="shared" si="7"/>
        <v>20</v>
      </c>
      <c r="B23" s="123">
        <v>202508</v>
      </c>
      <c r="C23" s="124">
        <v>45877</v>
      </c>
      <c r="D23" s="123" t="s">
        <v>48</v>
      </c>
      <c r="E23" s="123">
        <v>81203721200</v>
      </c>
      <c r="F23" s="123">
        <v>90</v>
      </c>
      <c r="G23" s="157">
        <f t="shared" si="0"/>
        <v>39517.699999999997</v>
      </c>
      <c r="H23" s="125">
        <v>3556593</v>
      </c>
      <c r="I23" s="125">
        <f t="shared" si="1"/>
        <v>3556000</v>
      </c>
      <c r="J23" s="125">
        <v>355500</v>
      </c>
      <c r="K23" s="125">
        <v>0</v>
      </c>
      <c r="L23" s="126">
        <f t="shared" si="2"/>
        <v>277300</v>
      </c>
      <c r="M23" s="126">
        <f t="shared" si="3"/>
        <v>78200</v>
      </c>
      <c r="N23" s="123">
        <v>0</v>
      </c>
      <c r="O23" s="126">
        <f t="shared" si="4"/>
        <v>0</v>
      </c>
      <c r="P23" s="126">
        <f t="shared" si="5"/>
        <v>0</v>
      </c>
      <c r="Q23" s="126">
        <f t="shared" si="6"/>
        <v>0</v>
      </c>
      <c r="R23" s="125">
        <v>0</v>
      </c>
    </row>
    <row r="24" spans="1:18" ht="22.5" customHeight="1">
      <c r="A24" s="139">
        <f t="shared" si="7"/>
        <v>21</v>
      </c>
      <c r="B24" s="123">
        <v>202508</v>
      </c>
      <c r="C24" s="124">
        <v>45888</v>
      </c>
      <c r="D24" s="123" t="s">
        <v>13</v>
      </c>
      <c r="E24" s="123">
        <v>81203863040</v>
      </c>
      <c r="F24" s="123">
        <v>2080</v>
      </c>
      <c r="G24" s="157">
        <f t="shared" si="0"/>
        <v>34508.01778846154</v>
      </c>
      <c r="H24" s="125">
        <v>71776677</v>
      </c>
      <c r="I24" s="125">
        <f t="shared" si="1"/>
        <v>71776000</v>
      </c>
      <c r="J24" s="125">
        <v>7177500</v>
      </c>
      <c r="K24" s="125">
        <v>0</v>
      </c>
      <c r="L24" s="126">
        <f t="shared" si="2"/>
        <v>5598500</v>
      </c>
      <c r="M24" s="126">
        <f t="shared" si="3"/>
        <v>1579000</v>
      </c>
      <c r="N24" s="123">
        <v>880</v>
      </c>
      <c r="O24" s="126">
        <f t="shared" si="4"/>
        <v>30366800</v>
      </c>
      <c r="P24" s="126">
        <f t="shared" si="5"/>
        <v>2368600</v>
      </c>
      <c r="Q24" s="126">
        <f t="shared" si="6"/>
        <v>668000</v>
      </c>
      <c r="R24" s="125">
        <v>3036600</v>
      </c>
    </row>
    <row r="25" spans="1:18" ht="22.5" customHeight="1">
      <c r="A25" s="139">
        <f t="shared" si="7"/>
        <v>22</v>
      </c>
      <c r="G25" s="157" t="e">
        <f t="shared" si="0"/>
        <v>#DIV/0!</v>
      </c>
      <c r="I25" s="125">
        <f t="shared" si="1"/>
        <v>0</v>
      </c>
      <c r="L25" s="126">
        <f t="shared" si="2"/>
        <v>0</v>
      </c>
      <c r="M25" s="126">
        <f t="shared" si="3"/>
        <v>0</v>
      </c>
      <c r="O25" s="126" t="e">
        <f t="shared" si="4"/>
        <v>#DIV/0!</v>
      </c>
      <c r="P25" s="126" t="e">
        <f t="shared" si="5"/>
        <v>#DIV/0!</v>
      </c>
      <c r="Q25" s="126" t="e">
        <f t="shared" si="6"/>
        <v>#DIV/0!</v>
      </c>
    </row>
    <row r="26" spans="1:18" ht="22.5" customHeight="1">
      <c r="A26" s="139">
        <f t="shared" si="7"/>
        <v>23</v>
      </c>
      <c r="G26" s="157" t="e">
        <f t="shared" si="0"/>
        <v>#DIV/0!</v>
      </c>
      <c r="I26" s="125">
        <f t="shared" si="1"/>
        <v>0</v>
      </c>
      <c r="L26" s="126">
        <f t="shared" si="2"/>
        <v>0</v>
      </c>
      <c r="M26" s="126">
        <f t="shared" si="3"/>
        <v>0</v>
      </c>
      <c r="O26" s="126" t="e">
        <f t="shared" si="4"/>
        <v>#DIV/0!</v>
      </c>
      <c r="P26" s="126" t="e">
        <f t="shared" si="5"/>
        <v>#DIV/0!</v>
      </c>
      <c r="Q26" s="126" t="e">
        <f t="shared" si="6"/>
        <v>#DIV/0!</v>
      </c>
    </row>
    <row r="27" spans="1:18" ht="22.5" customHeight="1">
      <c r="A27" s="139">
        <f t="shared" si="7"/>
        <v>24</v>
      </c>
      <c r="G27" s="157" t="e">
        <f t="shared" si="0"/>
        <v>#DIV/0!</v>
      </c>
      <c r="I27" s="125">
        <f t="shared" si="1"/>
        <v>0</v>
      </c>
      <c r="L27" s="126">
        <f t="shared" si="2"/>
        <v>0</v>
      </c>
      <c r="M27" s="126">
        <f t="shared" si="3"/>
        <v>0</v>
      </c>
      <c r="O27" s="126" t="e">
        <f t="shared" si="4"/>
        <v>#DIV/0!</v>
      </c>
      <c r="P27" s="126" t="e">
        <f t="shared" si="5"/>
        <v>#DIV/0!</v>
      </c>
      <c r="Q27" s="126" t="e">
        <f t="shared" si="6"/>
        <v>#DIV/0!</v>
      </c>
    </row>
    <row r="28" spans="1:18" ht="22.5" customHeight="1">
      <c r="A28" s="139">
        <f t="shared" si="7"/>
        <v>25</v>
      </c>
      <c r="G28" s="157" t="e">
        <f t="shared" si="0"/>
        <v>#DIV/0!</v>
      </c>
      <c r="I28" s="125">
        <f t="shared" si="1"/>
        <v>0</v>
      </c>
      <c r="L28" s="126">
        <f t="shared" si="2"/>
        <v>0</v>
      </c>
      <c r="M28" s="126">
        <f t="shared" si="3"/>
        <v>0</v>
      </c>
      <c r="O28" s="126" t="e">
        <f t="shared" si="4"/>
        <v>#DIV/0!</v>
      </c>
      <c r="P28" s="126" t="e">
        <f t="shared" si="5"/>
        <v>#DIV/0!</v>
      </c>
      <c r="Q28" s="126" t="e">
        <f t="shared" si="6"/>
        <v>#DIV/0!</v>
      </c>
    </row>
    <row r="29" spans="1:18" ht="22.5" customHeight="1">
      <c r="A29" s="139">
        <f t="shared" si="7"/>
        <v>26</v>
      </c>
      <c r="G29" s="157" t="e">
        <f t="shared" si="0"/>
        <v>#DIV/0!</v>
      </c>
      <c r="I29" s="125">
        <f t="shared" si="1"/>
        <v>0</v>
      </c>
      <c r="L29" s="126">
        <f t="shared" si="2"/>
        <v>0</v>
      </c>
      <c r="M29" s="126">
        <f t="shared" si="3"/>
        <v>0</v>
      </c>
      <c r="O29" s="126" t="e">
        <f t="shared" si="4"/>
        <v>#DIV/0!</v>
      </c>
      <c r="P29" s="126" t="e">
        <f t="shared" si="5"/>
        <v>#DIV/0!</v>
      </c>
      <c r="Q29" s="126" t="e">
        <f t="shared" si="6"/>
        <v>#DIV/0!</v>
      </c>
    </row>
    <row r="30" spans="1:18" ht="22.5" customHeight="1">
      <c r="A30" s="139">
        <f t="shared" si="7"/>
        <v>27</v>
      </c>
      <c r="G30" s="157" t="e">
        <f t="shared" si="0"/>
        <v>#DIV/0!</v>
      </c>
      <c r="I30" s="125">
        <f t="shared" si="1"/>
        <v>0</v>
      </c>
      <c r="L30" s="126">
        <f t="shared" si="2"/>
        <v>0</v>
      </c>
      <c r="M30" s="126">
        <f t="shared" si="3"/>
        <v>0</v>
      </c>
      <c r="O30" s="126" t="e">
        <f t="shared" si="4"/>
        <v>#DIV/0!</v>
      </c>
      <c r="P30" s="126" t="e">
        <f t="shared" si="5"/>
        <v>#DIV/0!</v>
      </c>
      <c r="Q30" s="126" t="e">
        <f t="shared" si="6"/>
        <v>#DIV/0!</v>
      </c>
    </row>
    <row r="31" spans="1:18" ht="22.5" customHeight="1">
      <c r="A31" s="139">
        <f t="shared" si="7"/>
        <v>28</v>
      </c>
      <c r="G31" s="157" t="e">
        <f t="shared" si="0"/>
        <v>#DIV/0!</v>
      </c>
      <c r="I31" s="125">
        <f t="shared" si="1"/>
        <v>0</v>
      </c>
      <c r="L31" s="126">
        <f t="shared" si="2"/>
        <v>0</v>
      </c>
      <c r="M31" s="126">
        <f t="shared" si="3"/>
        <v>0</v>
      </c>
      <c r="O31" s="126" t="e">
        <f t="shared" si="4"/>
        <v>#DIV/0!</v>
      </c>
      <c r="P31" s="126" t="e">
        <f t="shared" si="5"/>
        <v>#DIV/0!</v>
      </c>
      <c r="Q31" s="126" t="e">
        <f t="shared" si="6"/>
        <v>#DIV/0!</v>
      </c>
    </row>
    <row r="32" spans="1:18" ht="22.5" customHeight="1">
      <c r="A32" s="139">
        <f t="shared" si="7"/>
        <v>29</v>
      </c>
      <c r="G32" s="157" t="e">
        <f t="shared" si="0"/>
        <v>#DIV/0!</v>
      </c>
      <c r="I32" s="125">
        <f t="shared" si="1"/>
        <v>0</v>
      </c>
      <c r="L32" s="126">
        <f t="shared" si="2"/>
        <v>0</v>
      </c>
      <c r="M32" s="126">
        <f t="shared" si="3"/>
        <v>0</v>
      </c>
      <c r="O32" s="126" t="e">
        <f t="shared" si="4"/>
        <v>#DIV/0!</v>
      </c>
      <c r="P32" s="126" t="e">
        <f t="shared" si="5"/>
        <v>#DIV/0!</v>
      </c>
      <c r="Q32" s="126" t="e">
        <f t="shared" si="6"/>
        <v>#DIV/0!</v>
      </c>
    </row>
    <row r="33" spans="1:17" ht="22.5" customHeight="1">
      <c r="A33" s="139">
        <f t="shared" si="7"/>
        <v>30</v>
      </c>
      <c r="G33" s="157" t="e">
        <f t="shared" si="0"/>
        <v>#DIV/0!</v>
      </c>
      <c r="I33" s="125">
        <f t="shared" si="1"/>
        <v>0</v>
      </c>
      <c r="L33" s="126">
        <f t="shared" si="2"/>
        <v>0</v>
      </c>
      <c r="M33" s="126">
        <f t="shared" si="3"/>
        <v>0</v>
      </c>
      <c r="O33" s="126" t="e">
        <f t="shared" si="4"/>
        <v>#DIV/0!</v>
      </c>
      <c r="P33" s="126" t="e">
        <f t="shared" si="5"/>
        <v>#DIV/0!</v>
      </c>
      <c r="Q33" s="126" t="e">
        <f t="shared" si="6"/>
        <v>#DIV/0!</v>
      </c>
    </row>
    <row r="34" spans="1:17" ht="22.5" customHeight="1">
      <c r="A34" s="139">
        <f t="shared" si="7"/>
        <v>31</v>
      </c>
      <c r="G34" s="157" t="e">
        <f t="shared" si="0"/>
        <v>#DIV/0!</v>
      </c>
      <c r="I34" s="125">
        <f t="shared" si="1"/>
        <v>0</v>
      </c>
      <c r="L34" s="126">
        <f t="shared" si="2"/>
        <v>0</v>
      </c>
      <c r="M34" s="126">
        <f t="shared" si="3"/>
        <v>0</v>
      </c>
      <c r="O34" s="126" t="e">
        <f t="shared" si="4"/>
        <v>#DIV/0!</v>
      </c>
      <c r="P34" s="126" t="e">
        <f t="shared" si="5"/>
        <v>#DIV/0!</v>
      </c>
      <c r="Q34" s="126" t="e">
        <f t="shared" si="6"/>
        <v>#DIV/0!</v>
      </c>
    </row>
    <row r="35" spans="1:17" ht="22.5" customHeight="1">
      <c r="A35" s="139">
        <f t="shared" si="7"/>
        <v>32</v>
      </c>
      <c r="G35" s="157" t="e">
        <f t="shared" si="0"/>
        <v>#DIV/0!</v>
      </c>
      <c r="I35" s="125">
        <f t="shared" si="1"/>
        <v>0</v>
      </c>
      <c r="L35" s="126">
        <f t="shared" si="2"/>
        <v>0</v>
      </c>
      <c r="M35" s="126">
        <f t="shared" si="3"/>
        <v>0</v>
      </c>
      <c r="O35" s="126" t="e">
        <f t="shared" si="4"/>
        <v>#DIV/0!</v>
      </c>
      <c r="P35" s="126" t="e">
        <f t="shared" si="5"/>
        <v>#DIV/0!</v>
      </c>
      <c r="Q35" s="126" t="e">
        <f t="shared" si="6"/>
        <v>#DIV/0!</v>
      </c>
    </row>
    <row r="36" spans="1:17" ht="22.5" customHeight="1">
      <c r="A36" s="139">
        <f t="shared" si="7"/>
        <v>33</v>
      </c>
      <c r="G36" s="157" t="e">
        <f t="shared" si="0"/>
        <v>#DIV/0!</v>
      </c>
      <c r="I36" s="125">
        <f t="shared" si="1"/>
        <v>0</v>
      </c>
      <c r="L36" s="126">
        <f t="shared" si="2"/>
        <v>0</v>
      </c>
      <c r="M36" s="126">
        <f t="shared" si="3"/>
        <v>0</v>
      </c>
      <c r="O36" s="126" t="e">
        <f t="shared" si="4"/>
        <v>#DIV/0!</v>
      </c>
      <c r="P36" s="126" t="e">
        <f t="shared" si="5"/>
        <v>#DIV/0!</v>
      </c>
      <c r="Q36" s="126" t="e">
        <f t="shared" si="6"/>
        <v>#DIV/0!</v>
      </c>
    </row>
    <row r="37" spans="1:17" ht="22.5" customHeight="1">
      <c r="A37" s="139">
        <f t="shared" si="7"/>
        <v>34</v>
      </c>
      <c r="G37" s="157" t="e">
        <f t="shared" si="0"/>
        <v>#DIV/0!</v>
      </c>
      <c r="I37" s="125">
        <f t="shared" si="1"/>
        <v>0</v>
      </c>
      <c r="L37" s="126">
        <f t="shared" si="2"/>
        <v>0</v>
      </c>
      <c r="M37" s="126">
        <f t="shared" si="3"/>
        <v>0</v>
      </c>
      <c r="O37" s="126" t="e">
        <f t="shared" si="4"/>
        <v>#DIV/0!</v>
      </c>
      <c r="P37" s="126" t="e">
        <f t="shared" si="5"/>
        <v>#DIV/0!</v>
      </c>
      <c r="Q37" s="126" t="e">
        <f t="shared" si="6"/>
        <v>#DIV/0!</v>
      </c>
    </row>
    <row r="38" spans="1:17" ht="22.5" customHeight="1">
      <c r="A38" s="139">
        <f t="shared" si="7"/>
        <v>35</v>
      </c>
      <c r="G38" s="157" t="e">
        <f t="shared" si="0"/>
        <v>#DIV/0!</v>
      </c>
      <c r="I38" s="125">
        <f t="shared" si="1"/>
        <v>0</v>
      </c>
      <c r="L38" s="126">
        <f t="shared" si="2"/>
        <v>0</v>
      </c>
      <c r="M38" s="126">
        <f t="shared" si="3"/>
        <v>0</v>
      </c>
      <c r="O38" s="126" t="e">
        <f t="shared" si="4"/>
        <v>#DIV/0!</v>
      </c>
      <c r="P38" s="126" t="e">
        <f t="shared" si="5"/>
        <v>#DIV/0!</v>
      </c>
      <c r="Q38" s="126" t="e">
        <f t="shared" si="6"/>
        <v>#DIV/0!</v>
      </c>
    </row>
    <row r="39" spans="1:17" ht="22.5" customHeight="1">
      <c r="A39" s="139">
        <f t="shared" si="7"/>
        <v>36</v>
      </c>
      <c r="G39" s="157" t="e">
        <f t="shared" si="0"/>
        <v>#DIV/0!</v>
      </c>
      <c r="I39" s="125">
        <f t="shared" si="1"/>
        <v>0</v>
      </c>
      <c r="L39" s="126">
        <f t="shared" si="2"/>
        <v>0</v>
      </c>
      <c r="M39" s="126">
        <f t="shared" si="3"/>
        <v>0</v>
      </c>
      <c r="O39" s="126" t="e">
        <f t="shared" si="4"/>
        <v>#DIV/0!</v>
      </c>
      <c r="P39" s="126" t="e">
        <f t="shared" si="5"/>
        <v>#DIV/0!</v>
      </c>
      <c r="Q39" s="126" t="e">
        <f t="shared" si="6"/>
        <v>#DIV/0!</v>
      </c>
    </row>
    <row r="40" spans="1:17" ht="22.5" customHeight="1">
      <c r="A40" s="139">
        <f t="shared" si="7"/>
        <v>37</v>
      </c>
      <c r="G40" s="157" t="e">
        <f t="shared" si="0"/>
        <v>#DIV/0!</v>
      </c>
      <c r="I40" s="125">
        <f t="shared" si="1"/>
        <v>0</v>
      </c>
      <c r="L40" s="126">
        <f t="shared" si="2"/>
        <v>0</v>
      </c>
      <c r="M40" s="126">
        <f t="shared" si="3"/>
        <v>0</v>
      </c>
      <c r="O40" s="126" t="e">
        <f t="shared" si="4"/>
        <v>#DIV/0!</v>
      </c>
      <c r="P40" s="126" t="e">
        <f t="shared" si="5"/>
        <v>#DIV/0!</v>
      </c>
      <c r="Q40" s="126" t="e">
        <f t="shared" si="6"/>
        <v>#DIV/0!</v>
      </c>
    </row>
    <row r="41" spans="1:17" ht="22.5" customHeight="1">
      <c r="A41" s="139">
        <f t="shared" si="7"/>
        <v>38</v>
      </c>
      <c r="G41" s="157" t="e">
        <f t="shared" si="0"/>
        <v>#DIV/0!</v>
      </c>
      <c r="I41" s="125">
        <f t="shared" si="1"/>
        <v>0</v>
      </c>
      <c r="L41" s="126">
        <f t="shared" si="2"/>
        <v>0</v>
      </c>
      <c r="M41" s="126">
        <f t="shared" si="3"/>
        <v>0</v>
      </c>
      <c r="O41" s="126" t="e">
        <f t="shared" si="4"/>
        <v>#DIV/0!</v>
      </c>
      <c r="P41" s="126" t="e">
        <f t="shared" si="5"/>
        <v>#DIV/0!</v>
      </c>
      <c r="Q41" s="126" t="e">
        <f t="shared" si="6"/>
        <v>#DIV/0!</v>
      </c>
    </row>
    <row r="42" spans="1:17" ht="22.5" customHeight="1">
      <c r="A42" s="139">
        <f t="shared" si="7"/>
        <v>39</v>
      </c>
      <c r="G42" s="157" t="e">
        <f t="shared" si="0"/>
        <v>#DIV/0!</v>
      </c>
      <c r="I42" s="125">
        <f t="shared" si="1"/>
        <v>0</v>
      </c>
      <c r="L42" s="126">
        <f t="shared" si="2"/>
        <v>0</v>
      </c>
      <c r="M42" s="126">
        <f t="shared" si="3"/>
        <v>0</v>
      </c>
      <c r="O42" s="126" t="e">
        <f t="shared" si="4"/>
        <v>#DIV/0!</v>
      </c>
      <c r="P42" s="126" t="e">
        <f t="shared" si="5"/>
        <v>#DIV/0!</v>
      </c>
      <c r="Q42" s="126" t="e">
        <f t="shared" si="6"/>
        <v>#DIV/0!</v>
      </c>
    </row>
    <row r="43" spans="1:17" ht="22.5" customHeight="1">
      <c r="A43" s="139">
        <f t="shared" si="7"/>
        <v>40</v>
      </c>
      <c r="G43" s="157" t="e">
        <f t="shared" si="0"/>
        <v>#DIV/0!</v>
      </c>
      <c r="I43" s="125">
        <f t="shared" si="1"/>
        <v>0</v>
      </c>
      <c r="L43" s="126">
        <f t="shared" si="2"/>
        <v>0</v>
      </c>
      <c r="M43" s="126">
        <f t="shared" si="3"/>
        <v>0</v>
      </c>
      <c r="O43" s="126" t="e">
        <f t="shared" si="4"/>
        <v>#DIV/0!</v>
      </c>
      <c r="P43" s="126" t="e">
        <f t="shared" si="5"/>
        <v>#DIV/0!</v>
      </c>
      <c r="Q43" s="126" t="e">
        <f t="shared" si="6"/>
        <v>#DIV/0!</v>
      </c>
    </row>
    <row r="44" spans="1:17" ht="22.5" customHeight="1">
      <c r="A44" s="139">
        <f t="shared" si="7"/>
        <v>41</v>
      </c>
      <c r="G44" s="157" t="e">
        <f t="shared" si="0"/>
        <v>#DIV/0!</v>
      </c>
      <c r="I44" s="125">
        <f t="shared" si="1"/>
        <v>0</v>
      </c>
      <c r="L44" s="126">
        <f t="shared" si="2"/>
        <v>0</v>
      </c>
      <c r="M44" s="126">
        <f t="shared" si="3"/>
        <v>0</v>
      </c>
      <c r="O44" s="126" t="e">
        <f t="shared" si="4"/>
        <v>#DIV/0!</v>
      </c>
      <c r="P44" s="126" t="e">
        <f t="shared" si="5"/>
        <v>#DIV/0!</v>
      </c>
      <c r="Q44" s="126" t="e">
        <f t="shared" si="6"/>
        <v>#DIV/0!</v>
      </c>
    </row>
    <row r="45" spans="1:17" ht="22.5" customHeight="1">
      <c r="A45" s="139">
        <f t="shared" si="7"/>
        <v>42</v>
      </c>
      <c r="G45" s="157" t="e">
        <f t="shared" si="0"/>
        <v>#DIV/0!</v>
      </c>
      <c r="I45" s="125">
        <f t="shared" si="1"/>
        <v>0</v>
      </c>
      <c r="L45" s="126">
        <f t="shared" si="2"/>
        <v>0</v>
      </c>
      <c r="M45" s="126">
        <f t="shared" si="3"/>
        <v>0</v>
      </c>
      <c r="O45" s="126" t="e">
        <f t="shared" si="4"/>
        <v>#DIV/0!</v>
      </c>
      <c r="P45" s="126" t="e">
        <f t="shared" si="5"/>
        <v>#DIV/0!</v>
      </c>
      <c r="Q45" s="126" t="e">
        <f t="shared" si="6"/>
        <v>#DIV/0!</v>
      </c>
    </row>
    <row r="46" spans="1:17" ht="22.5" customHeight="1">
      <c r="A46" s="139">
        <f t="shared" si="7"/>
        <v>43</v>
      </c>
      <c r="G46" s="157" t="e">
        <f t="shared" si="0"/>
        <v>#DIV/0!</v>
      </c>
      <c r="I46" s="125">
        <f t="shared" si="1"/>
        <v>0</v>
      </c>
      <c r="L46" s="126">
        <f t="shared" si="2"/>
        <v>0</v>
      </c>
      <c r="M46" s="126">
        <f t="shared" si="3"/>
        <v>0</v>
      </c>
      <c r="O46" s="126" t="e">
        <f t="shared" si="4"/>
        <v>#DIV/0!</v>
      </c>
      <c r="P46" s="126" t="e">
        <f t="shared" si="5"/>
        <v>#DIV/0!</v>
      </c>
      <c r="Q46" s="126" t="e">
        <f t="shared" si="6"/>
        <v>#DIV/0!</v>
      </c>
    </row>
    <row r="47" spans="1:17" ht="22.5" customHeight="1">
      <c r="A47" s="139">
        <f t="shared" si="7"/>
        <v>44</v>
      </c>
      <c r="G47" s="157" t="e">
        <f t="shared" si="0"/>
        <v>#DIV/0!</v>
      </c>
      <c r="I47" s="125">
        <f t="shared" si="1"/>
        <v>0</v>
      </c>
      <c r="L47" s="126">
        <f t="shared" si="2"/>
        <v>0</v>
      </c>
      <c r="M47" s="126">
        <f t="shared" si="3"/>
        <v>0</v>
      </c>
      <c r="O47" s="126" t="e">
        <f t="shared" si="4"/>
        <v>#DIV/0!</v>
      </c>
      <c r="P47" s="126" t="e">
        <f t="shared" si="5"/>
        <v>#DIV/0!</v>
      </c>
      <c r="Q47" s="126" t="e">
        <f t="shared" si="6"/>
        <v>#DIV/0!</v>
      </c>
    </row>
    <row r="48" spans="1:17" ht="22.5" customHeight="1">
      <c r="A48" s="139">
        <f t="shared" si="7"/>
        <v>45</v>
      </c>
      <c r="G48" s="157" t="e">
        <f t="shared" si="0"/>
        <v>#DIV/0!</v>
      </c>
      <c r="I48" s="125">
        <f t="shared" si="1"/>
        <v>0</v>
      </c>
      <c r="L48" s="126">
        <f t="shared" si="2"/>
        <v>0</v>
      </c>
      <c r="M48" s="126">
        <f t="shared" si="3"/>
        <v>0</v>
      </c>
      <c r="O48" s="126" t="e">
        <f t="shared" si="4"/>
        <v>#DIV/0!</v>
      </c>
      <c r="P48" s="126" t="e">
        <f t="shared" si="5"/>
        <v>#DIV/0!</v>
      </c>
      <c r="Q48" s="126" t="e">
        <f t="shared" si="6"/>
        <v>#DIV/0!</v>
      </c>
    </row>
    <row r="49" spans="1:18" ht="22.5" customHeight="1">
      <c r="A49" s="139">
        <f t="shared" si="7"/>
        <v>46</v>
      </c>
      <c r="G49" s="157" t="e">
        <f t="shared" si="0"/>
        <v>#DIV/0!</v>
      </c>
      <c r="I49" s="125">
        <f t="shared" si="1"/>
        <v>0</v>
      </c>
      <c r="L49" s="126">
        <f t="shared" si="2"/>
        <v>0</v>
      </c>
      <c r="M49" s="126">
        <f t="shared" si="3"/>
        <v>0</v>
      </c>
      <c r="O49" s="126" t="e">
        <f t="shared" si="4"/>
        <v>#DIV/0!</v>
      </c>
      <c r="P49" s="126" t="e">
        <f t="shared" si="5"/>
        <v>#DIV/0!</v>
      </c>
      <c r="Q49" s="126" t="e">
        <f t="shared" si="6"/>
        <v>#DIV/0!</v>
      </c>
    </row>
    <row r="50" spans="1:18" ht="22.5" customHeight="1">
      <c r="A50" s="139">
        <f t="shared" si="7"/>
        <v>47</v>
      </c>
      <c r="G50" s="157" t="e">
        <f t="shared" si="0"/>
        <v>#DIV/0!</v>
      </c>
      <c r="I50" s="125">
        <f t="shared" si="1"/>
        <v>0</v>
      </c>
      <c r="L50" s="126">
        <f t="shared" si="2"/>
        <v>0</v>
      </c>
      <c r="M50" s="126">
        <f t="shared" si="3"/>
        <v>0</v>
      </c>
      <c r="O50" s="126" t="e">
        <f t="shared" si="4"/>
        <v>#DIV/0!</v>
      </c>
      <c r="P50" s="126" t="e">
        <f t="shared" si="5"/>
        <v>#DIV/0!</v>
      </c>
      <c r="Q50" s="126" t="e">
        <f t="shared" si="6"/>
        <v>#DIV/0!</v>
      </c>
    </row>
    <row r="51" spans="1:18" ht="22.5" customHeight="1">
      <c r="A51" s="139">
        <f t="shared" si="7"/>
        <v>48</v>
      </c>
      <c r="G51" s="157" t="e">
        <f t="shared" si="0"/>
        <v>#DIV/0!</v>
      </c>
      <c r="I51" s="125">
        <f t="shared" si="1"/>
        <v>0</v>
      </c>
      <c r="L51" s="126">
        <f t="shared" si="2"/>
        <v>0</v>
      </c>
      <c r="M51" s="126">
        <f t="shared" si="3"/>
        <v>0</v>
      </c>
      <c r="O51" s="126" t="e">
        <f t="shared" si="4"/>
        <v>#DIV/0!</v>
      </c>
      <c r="P51" s="126" t="e">
        <f t="shared" si="5"/>
        <v>#DIV/0!</v>
      </c>
      <c r="Q51" s="126" t="e">
        <f t="shared" si="6"/>
        <v>#DIV/0!</v>
      </c>
    </row>
    <row r="52" spans="1:18" ht="29.25" customHeight="1">
      <c r="A52" s="139"/>
      <c r="O52" s="127"/>
      <c r="P52" s="126" t="e">
        <f>SUM(P4:P51)</f>
        <v>#DIV/0!</v>
      </c>
      <c r="Q52" s="126" t="e">
        <f>SUM(Q4:Q51)</f>
        <v>#DIV/0!</v>
      </c>
      <c r="R52" s="125">
        <f>SUM(R4:R51)</f>
        <v>19793900</v>
      </c>
    </row>
    <row r="53" spans="1:18">
      <c r="A53" s="139"/>
    </row>
  </sheetData>
  <autoFilter ref="B3:R52" xr:uid="{7FF02D80-10B7-45F2-B0EC-AD9433041671}"/>
  <phoneticPr fontId="1"/>
  <pageMargins left="0.7" right="0.7" top="0.75" bottom="0.75" header="0.3" footer="0.3"/>
  <pageSetup paperSize="9" scale="68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593B-84F3-4F3D-B742-897557B23582}">
  <sheetPr>
    <pageSetUpPr fitToPage="1"/>
  </sheetPr>
  <dimension ref="A3:R52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RowHeight="14.25"/>
  <cols>
    <col min="1" max="1" width="14.125" style="123" customWidth="1"/>
    <col min="2" max="2" width="13.25" style="124" bestFit="1" customWidth="1"/>
    <col min="3" max="3" width="9.5" style="123" customWidth="1"/>
    <col min="4" max="4" width="18" style="123" customWidth="1"/>
    <col min="5" max="5" width="11.625" style="123" customWidth="1"/>
    <col min="6" max="6" width="9.625" style="138" customWidth="1"/>
    <col min="7" max="8" width="14.375" style="125" customWidth="1"/>
    <col min="9" max="9" width="12" style="125" bestFit="1" customWidth="1"/>
    <col min="10" max="10" width="7" style="125" customWidth="1"/>
    <col min="11" max="11" width="12.875" style="125" customWidth="1"/>
    <col min="12" max="12" width="14.75" style="125" customWidth="1"/>
    <col min="13" max="13" width="11.375" style="123" customWidth="1"/>
    <col min="14" max="14" width="12" style="123" bestFit="1" customWidth="1"/>
    <col min="15" max="16" width="16.75" style="125" customWidth="1"/>
    <col min="17" max="17" width="11.625" style="125" bestFit="1" customWidth="1"/>
    <col min="18" max="18" width="13.625" style="123" customWidth="1"/>
    <col min="19" max="16384" width="9" style="123"/>
  </cols>
  <sheetData>
    <row r="3" spans="1:17" s="128" customFormat="1" ht="74.25" customHeight="1">
      <c r="A3" s="128" t="s">
        <v>54</v>
      </c>
      <c r="B3" s="129" t="s">
        <v>85</v>
      </c>
      <c r="C3" s="128" t="s">
        <v>50</v>
      </c>
      <c r="D3" s="128" t="s">
        <v>51</v>
      </c>
      <c r="E3" s="130" t="s">
        <v>77</v>
      </c>
      <c r="F3" s="156" t="s">
        <v>94</v>
      </c>
      <c r="G3" s="131" t="s">
        <v>86</v>
      </c>
      <c r="H3" s="135" t="s">
        <v>93</v>
      </c>
      <c r="I3" s="131" t="s">
        <v>87</v>
      </c>
      <c r="J3" s="132" t="s">
        <v>88</v>
      </c>
      <c r="K3" s="131" t="s">
        <v>89</v>
      </c>
      <c r="L3" s="131" t="s">
        <v>90</v>
      </c>
      <c r="M3" s="133" t="s">
        <v>82</v>
      </c>
      <c r="N3" s="133" t="s">
        <v>83</v>
      </c>
      <c r="O3" s="134" t="s">
        <v>80</v>
      </c>
      <c r="P3" s="134" t="s">
        <v>81</v>
      </c>
      <c r="Q3" s="122" t="s">
        <v>84</v>
      </c>
    </row>
    <row r="4" spans="1:17" ht="22.5" customHeight="1">
      <c r="A4" s="123">
        <v>202404</v>
      </c>
      <c r="B4" s="124">
        <v>45385</v>
      </c>
      <c r="C4" s="123" t="s">
        <v>48</v>
      </c>
      <c r="D4" s="123">
        <v>81194773210</v>
      </c>
      <c r="E4" s="123">
        <v>630</v>
      </c>
      <c r="F4" s="157">
        <f>G4/E4</f>
        <v>42848.126984126982</v>
      </c>
      <c r="G4" s="125">
        <v>26994320</v>
      </c>
      <c r="H4" s="125">
        <v>26994000</v>
      </c>
      <c r="I4" s="125">
        <v>2699300</v>
      </c>
      <c r="J4" s="125">
        <v>0</v>
      </c>
      <c r="K4" s="126">
        <f>ROUNDDOWN(H4*7.8/100,-2)</f>
        <v>2105500</v>
      </c>
      <c r="L4" s="126">
        <f>I4-K4</f>
        <v>593800</v>
      </c>
      <c r="M4" s="123">
        <v>0</v>
      </c>
      <c r="N4" s="126">
        <f>ROUND(H4/E4*M4,-2)</f>
        <v>0</v>
      </c>
      <c r="O4" s="126">
        <f>ROUNDDOWN(N4*7.8/100,-2)</f>
        <v>0</v>
      </c>
      <c r="P4" s="126">
        <f t="shared" ref="P4:P51" si="0">Q4-O4</f>
        <v>0</v>
      </c>
      <c r="Q4" s="125">
        <v>0</v>
      </c>
    </row>
    <row r="5" spans="1:17" ht="22.5" customHeight="1">
      <c r="A5" s="123">
        <v>202404</v>
      </c>
      <c r="B5" s="124">
        <v>45398</v>
      </c>
      <c r="C5" s="123" t="s">
        <v>13</v>
      </c>
      <c r="D5" s="123">
        <v>81195019830</v>
      </c>
      <c r="E5" s="123">
        <v>1420</v>
      </c>
      <c r="F5" s="157">
        <f t="shared" ref="F5:F51" si="1">G5/E5</f>
        <v>36042.11056338028</v>
      </c>
      <c r="G5" s="125">
        <v>51179797</v>
      </c>
      <c r="H5" s="125">
        <v>51179000</v>
      </c>
      <c r="I5" s="125">
        <v>5117800</v>
      </c>
      <c r="J5" s="125">
        <v>0</v>
      </c>
      <c r="K5" s="126">
        <f t="shared" ref="K5:K51" si="2">ROUNDDOWN(H5*7.8/100,-2)</f>
        <v>3991900</v>
      </c>
      <c r="L5" s="126">
        <f t="shared" ref="L5:L51" si="3">I5-K5</f>
        <v>1125900</v>
      </c>
      <c r="M5" s="123">
        <v>720</v>
      </c>
      <c r="N5" s="126">
        <f t="shared" ref="N5:N51" si="4">ROUND(H5/E5*M5,-2)</f>
        <v>25949900</v>
      </c>
      <c r="O5" s="126">
        <f t="shared" ref="O5:O51" si="5">ROUNDDOWN(N5*7.8/100,-2)</f>
        <v>2024000</v>
      </c>
      <c r="P5" s="126">
        <f t="shared" si="0"/>
        <v>571000</v>
      </c>
      <c r="Q5" s="125">
        <v>2595000</v>
      </c>
    </row>
    <row r="6" spans="1:17" ht="22.5" customHeight="1">
      <c r="A6" s="123">
        <v>202404</v>
      </c>
      <c r="B6" s="124">
        <v>45399</v>
      </c>
      <c r="C6" s="123" t="s">
        <v>48</v>
      </c>
      <c r="D6" s="123">
        <v>81195052400</v>
      </c>
      <c r="E6" s="123">
        <v>325.5</v>
      </c>
      <c r="F6" s="157">
        <f t="shared" si="1"/>
        <v>41500.006144393243</v>
      </c>
      <c r="G6" s="125">
        <v>13508252</v>
      </c>
      <c r="H6" s="125">
        <v>13508000</v>
      </c>
      <c r="I6" s="125">
        <v>1350700</v>
      </c>
      <c r="J6" s="125">
        <v>0</v>
      </c>
      <c r="K6" s="126">
        <f t="shared" si="2"/>
        <v>1053600</v>
      </c>
      <c r="L6" s="126">
        <f t="shared" si="3"/>
        <v>297100</v>
      </c>
      <c r="M6" s="123">
        <v>325.5</v>
      </c>
      <c r="N6" s="126">
        <f t="shared" si="4"/>
        <v>13508000</v>
      </c>
      <c r="O6" s="126">
        <f t="shared" si="5"/>
        <v>1053600</v>
      </c>
      <c r="P6" s="126">
        <f t="shared" si="0"/>
        <v>297100</v>
      </c>
      <c r="Q6" s="125">
        <v>1350700</v>
      </c>
    </row>
    <row r="7" spans="1:17" ht="22.5" customHeight="1">
      <c r="A7" s="123">
        <v>202405</v>
      </c>
      <c r="B7" s="124">
        <v>45414</v>
      </c>
      <c r="C7" s="123" t="s">
        <v>13</v>
      </c>
      <c r="D7" s="123">
        <v>81195303000</v>
      </c>
      <c r="E7" s="123">
        <v>1480</v>
      </c>
      <c r="F7" s="157">
        <f t="shared" si="1"/>
        <v>36615.784459459457</v>
      </c>
      <c r="G7" s="125">
        <v>54191361</v>
      </c>
      <c r="H7" s="125">
        <v>54191000</v>
      </c>
      <c r="I7" s="125">
        <v>5418900</v>
      </c>
      <c r="J7" s="125">
        <v>0</v>
      </c>
      <c r="K7" s="126">
        <f t="shared" si="2"/>
        <v>4226800</v>
      </c>
      <c r="L7" s="126">
        <f t="shared" si="3"/>
        <v>1192100</v>
      </c>
      <c r="M7" s="123">
        <v>380</v>
      </c>
      <c r="N7" s="126">
        <f t="shared" si="4"/>
        <v>13913900</v>
      </c>
      <c r="O7" s="126">
        <f>ROUNDDOWN(N7*7.8/100,-2)</f>
        <v>1085200</v>
      </c>
      <c r="P7" s="126">
        <f t="shared" si="0"/>
        <v>306100</v>
      </c>
      <c r="Q7" s="125">
        <v>1391300</v>
      </c>
    </row>
    <row r="8" spans="1:17" ht="22.5" customHeight="1">
      <c r="A8" s="123">
        <v>202405</v>
      </c>
      <c r="B8" s="124">
        <v>45425</v>
      </c>
      <c r="C8" s="123" t="s">
        <v>48</v>
      </c>
      <c r="D8" s="123">
        <v>81195475640</v>
      </c>
      <c r="E8" s="123">
        <v>135.76</v>
      </c>
      <c r="F8" s="157">
        <f t="shared" si="1"/>
        <v>43778.263111373017</v>
      </c>
      <c r="G8" s="125">
        <v>5943337</v>
      </c>
      <c r="H8" s="125">
        <v>5943000</v>
      </c>
      <c r="I8" s="125">
        <v>594200</v>
      </c>
      <c r="J8" s="125">
        <v>0</v>
      </c>
      <c r="K8" s="126">
        <f t="shared" si="2"/>
        <v>463500</v>
      </c>
      <c r="L8" s="126">
        <f t="shared" si="3"/>
        <v>130700</v>
      </c>
      <c r="M8" s="123">
        <v>0</v>
      </c>
      <c r="N8" s="126">
        <f t="shared" si="4"/>
        <v>0</v>
      </c>
      <c r="O8" s="126">
        <f t="shared" si="5"/>
        <v>0</v>
      </c>
      <c r="P8" s="126">
        <f t="shared" si="0"/>
        <v>0</v>
      </c>
      <c r="Q8" s="125">
        <v>0</v>
      </c>
    </row>
    <row r="9" spans="1:17" ht="22.5" customHeight="1">
      <c r="A9" s="123">
        <v>202405</v>
      </c>
      <c r="B9" s="124">
        <v>45429</v>
      </c>
      <c r="C9" s="123" t="s">
        <v>13</v>
      </c>
      <c r="D9" s="123">
        <v>81195629420</v>
      </c>
      <c r="E9" s="123">
        <v>1800</v>
      </c>
      <c r="F9" s="157">
        <f t="shared" si="1"/>
        <v>39891.956666666665</v>
      </c>
      <c r="G9" s="125">
        <v>71805522</v>
      </c>
      <c r="H9" s="125">
        <v>71805000</v>
      </c>
      <c r="I9" s="125">
        <v>7180300</v>
      </c>
      <c r="J9" s="125">
        <v>0</v>
      </c>
      <c r="K9" s="126">
        <f t="shared" si="2"/>
        <v>5600700</v>
      </c>
      <c r="L9" s="126">
        <f t="shared" si="3"/>
        <v>1579600</v>
      </c>
      <c r="M9" s="123">
        <v>800</v>
      </c>
      <c r="N9" s="126">
        <f t="shared" ref="N9" si="6">ROUND(H9/E9*M9,-2)</f>
        <v>31913300</v>
      </c>
      <c r="O9" s="126">
        <f t="shared" ref="O9" si="7">ROUNDDOWN(N9*7.8/100,-2)</f>
        <v>2489200</v>
      </c>
      <c r="P9" s="126">
        <f t="shared" si="0"/>
        <v>702100</v>
      </c>
      <c r="Q9" s="125">
        <v>3191300</v>
      </c>
    </row>
    <row r="10" spans="1:17" ht="22.5" customHeight="1">
      <c r="A10" s="123">
        <v>202405</v>
      </c>
      <c r="B10" s="124">
        <v>45433</v>
      </c>
      <c r="C10" s="123" t="s">
        <v>48</v>
      </c>
      <c r="D10" s="123">
        <v>81195674550</v>
      </c>
      <c r="E10" s="123">
        <v>450.2</v>
      </c>
      <c r="F10" s="157">
        <f t="shared" si="1"/>
        <v>43191.905819635722</v>
      </c>
      <c r="G10" s="125">
        <v>19444996</v>
      </c>
      <c r="H10" s="125">
        <v>19444000</v>
      </c>
      <c r="I10" s="125">
        <v>1944300</v>
      </c>
      <c r="J10" s="125">
        <v>0</v>
      </c>
      <c r="K10" s="126">
        <f t="shared" si="2"/>
        <v>1516600</v>
      </c>
      <c r="L10" s="126">
        <f t="shared" si="3"/>
        <v>427700</v>
      </c>
      <c r="M10" s="123">
        <v>0</v>
      </c>
      <c r="N10" s="126">
        <f t="shared" si="4"/>
        <v>0</v>
      </c>
      <c r="O10" s="126">
        <f t="shared" si="5"/>
        <v>0</v>
      </c>
      <c r="P10" s="126">
        <f t="shared" si="0"/>
        <v>0</v>
      </c>
      <c r="Q10" s="125">
        <v>0</v>
      </c>
    </row>
    <row r="11" spans="1:17" ht="22.5" customHeight="1">
      <c r="A11" s="123">
        <v>202405</v>
      </c>
      <c r="B11" s="124">
        <v>45435</v>
      </c>
      <c r="C11" s="123" t="s">
        <v>48</v>
      </c>
      <c r="D11" s="123">
        <v>81195746100</v>
      </c>
      <c r="E11" s="123">
        <v>200.01</v>
      </c>
      <c r="F11" s="157">
        <f t="shared" si="1"/>
        <v>43191.905404729769</v>
      </c>
      <c r="G11" s="125">
        <v>8638813</v>
      </c>
      <c r="H11" s="125">
        <v>8638000</v>
      </c>
      <c r="I11" s="125">
        <v>863700</v>
      </c>
      <c r="J11" s="125">
        <v>0</v>
      </c>
      <c r="K11" s="126">
        <f t="shared" si="2"/>
        <v>673700</v>
      </c>
      <c r="L11" s="126">
        <f t="shared" si="3"/>
        <v>190000</v>
      </c>
      <c r="M11" s="123">
        <v>0</v>
      </c>
      <c r="N11" s="126">
        <f t="shared" si="4"/>
        <v>0</v>
      </c>
      <c r="O11" s="126">
        <f t="shared" si="5"/>
        <v>0</v>
      </c>
      <c r="P11" s="126">
        <f t="shared" si="0"/>
        <v>0</v>
      </c>
      <c r="Q11" s="125">
        <v>0</v>
      </c>
    </row>
    <row r="12" spans="1:17" ht="22.5" customHeight="1">
      <c r="A12" s="123">
        <v>202406</v>
      </c>
      <c r="B12" s="124">
        <v>45454</v>
      </c>
      <c r="C12" s="123" t="s">
        <v>48</v>
      </c>
      <c r="D12" s="123">
        <v>81196092560</v>
      </c>
      <c r="E12" s="123">
        <v>599.79999999999995</v>
      </c>
      <c r="F12" s="157">
        <f t="shared" si="1"/>
        <v>43008.006002000671</v>
      </c>
      <c r="G12" s="125">
        <v>25796202</v>
      </c>
      <c r="H12" s="125">
        <v>25796000</v>
      </c>
      <c r="I12" s="125">
        <v>2579400</v>
      </c>
      <c r="J12" s="125">
        <v>0</v>
      </c>
      <c r="K12" s="126">
        <f t="shared" si="2"/>
        <v>2012000</v>
      </c>
      <c r="L12" s="126">
        <f t="shared" si="3"/>
        <v>567400</v>
      </c>
      <c r="M12" s="123">
        <v>0</v>
      </c>
      <c r="N12" s="126">
        <f t="shared" si="4"/>
        <v>0</v>
      </c>
      <c r="O12" s="126">
        <f t="shared" si="5"/>
        <v>0</v>
      </c>
      <c r="P12" s="126">
        <f t="shared" si="0"/>
        <v>0</v>
      </c>
      <c r="Q12" s="125">
        <v>0</v>
      </c>
    </row>
    <row r="13" spans="1:17" ht="22.5" customHeight="1">
      <c r="A13" s="123">
        <v>202406</v>
      </c>
      <c r="B13" s="124">
        <v>45454</v>
      </c>
      <c r="C13" s="123" t="s">
        <v>48</v>
      </c>
      <c r="D13" s="123">
        <v>81196092600</v>
      </c>
      <c r="E13" s="123">
        <v>1088.23</v>
      </c>
      <c r="F13" s="157">
        <f t="shared" si="1"/>
        <v>43008.00657949147</v>
      </c>
      <c r="G13" s="125">
        <v>46802603</v>
      </c>
      <c r="H13" s="125">
        <v>46802000</v>
      </c>
      <c r="I13" s="125">
        <v>4680100</v>
      </c>
      <c r="J13" s="125">
        <v>0</v>
      </c>
      <c r="K13" s="126">
        <f t="shared" si="2"/>
        <v>3650500</v>
      </c>
      <c r="L13" s="126">
        <f t="shared" si="3"/>
        <v>1029600</v>
      </c>
      <c r="M13" s="123">
        <v>0</v>
      </c>
      <c r="N13" s="126">
        <f t="shared" si="4"/>
        <v>0</v>
      </c>
      <c r="O13" s="126">
        <f t="shared" si="5"/>
        <v>0</v>
      </c>
      <c r="P13" s="126">
        <f t="shared" si="0"/>
        <v>0</v>
      </c>
      <c r="Q13" s="125">
        <v>0</v>
      </c>
    </row>
    <row r="14" spans="1:17" ht="22.5" customHeight="1">
      <c r="A14" s="123">
        <v>202406</v>
      </c>
      <c r="B14" s="124">
        <v>45455</v>
      </c>
      <c r="C14" s="123" t="s">
        <v>47</v>
      </c>
      <c r="D14" s="123">
        <v>81196119900</v>
      </c>
      <c r="E14" s="123">
        <v>2150</v>
      </c>
      <c r="F14" s="157">
        <f t="shared" si="1"/>
        <v>39243.916279069766</v>
      </c>
      <c r="G14" s="125">
        <v>84374420</v>
      </c>
      <c r="H14" s="125">
        <v>84374000</v>
      </c>
      <c r="I14" s="125">
        <v>8437300</v>
      </c>
      <c r="J14" s="125">
        <v>0</v>
      </c>
      <c r="K14" s="126">
        <f t="shared" si="2"/>
        <v>6581100</v>
      </c>
      <c r="L14" s="126">
        <f t="shared" si="3"/>
        <v>1856200</v>
      </c>
      <c r="M14" s="123">
        <v>1000</v>
      </c>
      <c r="N14" s="126">
        <f t="shared" si="4"/>
        <v>39243700</v>
      </c>
      <c r="O14" s="126">
        <f t="shared" si="5"/>
        <v>3061000</v>
      </c>
      <c r="P14" s="126">
        <f t="shared" si="0"/>
        <v>863300</v>
      </c>
      <c r="Q14" s="125">
        <v>3924300</v>
      </c>
    </row>
    <row r="15" spans="1:17" ht="22.5" customHeight="1">
      <c r="A15" s="123">
        <v>202406</v>
      </c>
      <c r="B15" s="124">
        <v>45464</v>
      </c>
      <c r="C15" s="123" t="s">
        <v>48</v>
      </c>
      <c r="D15" s="123">
        <v>81196290220</v>
      </c>
      <c r="E15" s="123">
        <v>315</v>
      </c>
      <c r="F15" s="157">
        <f t="shared" si="1"/>
        <v>43615.441269841271</v>
      </c>
      <c r="G15" s="125">
        <v>13738864</v>
      </c>
      <c r="H15" s="125">
        <v>13738000</v>
      </c>
      <c r="I15" s="125">
        <v>1373700</v>
      </c>
      <c r="J15" s="125">
        <v>0</v>
      </c>
      <c r="K15" s="126">
        <f t="shared" si="2"/>
        <v>1071500</v>
      </c>
      <c r="L15" s="126">
        <f t="shared" si="3"/>
        <v>302200</v>
      </c>
      <c r="M15" s="123">
        <v>315</v>
      </c>
      <c r="N15" s="126">
        <f t="shared" si="4"/>
        <v>13738000</v>
      </c>
      <c r="O15" s="126">
        <f t="shared" si="5"/>
        <v>1071500</v>
      </c>
      <c r="P15" s="126">
        <f t="shared" si="0"/>
        <v>302200</v>
      </c>
      <c r="Q15" s="125">
        <v>1373700</v>
      </c>
    </row>
    <row r="16" spans="1:17" ht="22.5" customHeight="1">
      <c r="A16" s="123">
        <v>202406</v>
      </c>
      <c r="B16" s="124">
        <v>45467</v>
      </c>
      <c r="C16" s="123" t="s">
        <v>48</v>
      </c>
      <c r="D16" s="123">
        <v>81196313800</v>
      </c>
      <c r="E16" s="123">
        <v>844.89</v>
      </c>
      <c r="F16" s="157">
        <f t="shared" si="1"/>
        <v>43071.073157452447</v>
      </c>
      <c r="G16" s="125">
        <v>36390319</v>
      </c>
      <c r="H16" s="125">
        <v>36390000</v>
      </c>
      <c r="I16" s="125">
        <v>3638900</v>
      </c>
      <c r="J16" s="125">
        <v>0</v>
      </c>
      <c r="K16" s="126">
        <f t="shared" si="2"/>
        <v>2838400</v>
      </c>
      <c r="L16" s="126">
        <f t="shared" si="3"/>
        <v>800500</v>
      </c>
      <c r="M16" s="123">
        <v>0</v>
      </c>
      <c r="N16" s="126">
        <f t="shared" si="4"/>
        <v>0</v>
      </c>
      <c r="O16" s="126">
        <f t="shared" si="5"/>
        <v>0</v>
      </c>
      <c r="P16" s="126">
        <f t="shared" si="0"/>
        <v>0</v>
      </c>
      <c r="Q16" s="125">
        <v>0</v>
      </c>
    </row>
    <row r="17" spans="1:17" ht="22.5" customHeight="1">
      <c r="A17" s="123">
        <v>202407</v>
      </c>
      <c r="B17" s="124">
        <v>45481</v>
      </c>
      <c r="C17" s="123" t="s">
        <v>13</v>
      </c>
      <c r="D17" s="123">
        <v>81196570920</v>
      </c>
      <c r="E17" s="123">
        <v>500</v>
      </c>
      <c r="F17" s="157">
        <f t="shared" si="1"/>
        <v>41082.868000000002</v>
      </c>
      <c r="G17" s="125">
        <v>20541434</v>
      </c>
      <c r="H17" s="125">
        <v>20541000</v>
      </c>
      <c r="I17" s="125">
        <v>2053900</v>
      </c>
      <c r="J17" s="125">
        <v>0</v>
      </c>
      <c r="K17" s="126">
        <f t="shared" si="2"/>
        <v>1602100</v>
      </c>
      <c r="L17" s="126">
        <f t="shared" si="3"/>
        <v>451800</v>
      </c>
      <c r="M17" s="123">
        <v>0</v>
      </c>
      <c r="N17" s="126">
        <f t="shared" si="4"/>
        <v>0</v>
      </c>
      <c r="O17" s="126">
        <f t="shared" si="5"/>
        <v>0</v>
      </c>
      <c r="P17" s="126">
        <f t="shared" si="0"/>
        <v>0</v>
      </c>
      <c r="Q17" s="125">
        <v>0</v>
      </c>
    </row>
    <row r="18" spans="1:17" ht="22.5" customHeight="1">
      <c r="A18" s="123">
        <v>202407</v>
      </c>
      <c r="B18" s="124">
        <v>45492</v>
      </c>
      <c r="C18" s="123" t="s">
        <v>13</v>
      </c>
      <c r="D18" s="123">
        <v>81196769020</v>
      </c>
      <c r="E18" s="123">
        <v>1850</v>
      </c>
      <c r="F18" s="157">
        <f t="shared" si="1"/>
        <v>40620.567567567567</v>
      </c>
      <c r="G18" s="125">
        <v>75148050</v>
      </c>
      <c r="H18" s="125">
        <v>75148000</v>
      </c>
      <c r="I18" s="125">
        <v>7514700</v>
      </c>
      <c r="J18" s="125">
        <v>0</v>
      </c>
      <c r="K18" s="126">
        <f t="shared" si="2"/>
        <v>5861500</v>
      </c>
      <c r="L18" s="126">
        <f t="shared" si="3"/>
        <v>1653200</v>
      </c>
      <c r="M18" s="123">
        <v>1000</v>
      </c>
      <c r="N18" s="126">
        <f t="shared" si="4"/>
        <v>40620500</v>
      </c>
      <c r="O18" s="126">
        <f t="shared" si="5"/>
        <v>3168300</v>
      </c>
      <c r="P18" s="126">
        <f t="shared" si="0"/>
        <v>893700</v>
      </c>
      <c r="Q18" s="125">
        <v>4062000</v>
      </c>
    </row>
    <row r="19" spans="1:17" ht="22.5" customHeight="1">
      <c r="A19" s="123">
        <v>202407</v>
      </c>
      <c r="B19" s="124">
        <v>45495</v>
      </c>
      <c r="C19" s="123" t="s">
        <v>48</v>
      </c>
      <c r="D19" s="123">
        <v>81196800740</v>
      </c>
      <c r="E19" s="123">
        <v>424.82</v>
      </c>
      <c r="F19" s="157">
        <f t="shared" si="1"/>
        <v>46564.493197118783</v>
      </c>
      <c r="G19" s="125">
        <v>19781528</v>
      </c>
      <c r="H19" s="125">
        <v>19781000</v>
      </c>
      <c r="I19" s="125">
        <v>1978000</v>
      </c>
      <c r="J19" s="125">
        <v>0</v>
      </c>
      <c r="K19" s="126">
        <f t="shared" si="2"/>
        <v>1542900</v>
      </c>
      <c r="L19" s="126">
        <f t="shared" si="3"/>
        <v>435100</v>
      </c>
      <c r="M19" s="123">
        <v>424.82</v>
      </c>
      <c r="N19" s="126">
        <f t="shared" si="4"/>
        <v>19781000</v>
      </c>
      <c r="O19" s="126">
        <f t="shared" si="5"/>
        <v>1542900</v>
      </c>
      <c r="P19" s="126">
        <f t="shared" si="0"/>
        <v>435100</v>
      </c>
      <c r="Q19" s="125">
        <v>1978000</v>
      </c>
    </row>
    <row r="20" spans="1:17" ht="22.5" customHeight="1">
      <c r="A20" s="123">
        <v>202408</v>
      </c>
      <c r="B20" s="124">
        <v>45890</v>
      </c>
      <c r="C20" s="123" t="s">
        <v>13</v>
      </c>
      <c r="D20" s="123">
        <v>81197349760</v>
      </c>
      <c r="E20" s="123">
        <v>1525</v>
      </c>
      <c r="F20" s="157">
        <f t="shared" si="1"/>
        <v>37355.491147540983</v>
      </c>
      <c r="G20" s="125">
        <v>56967124</v>
      </c>
      <c r="H20" s="125">
        <v>56967000</v>
      </c>
      <c r="I20" s="125">
        <v>5696600</v>
      </c>
      <c r="J20" s="125">
        <v>0</v>
      </c>
      <c r="K20" s="126">
        <f t="shared" si="2"/>
        <v>4443400</v>
      </c>
      <c r="L20" s="126">
        <f t="shared" si="3"/>
        <v>1253200</v>
      </c>
      <c r="M20" s="123">
        <v>800</v>
      </c>
      <c r="N20" s="126">
        <f t="shared" si="4"/>
        <v>29884300</v>
      </c>
      <c r="O20" s="126">
        <f t="shared" si="5"/>
        <v>2330900</v>
      </c>
      <c r="P20" s="126">
        <f t="shared" si="0"/>
        <v>657400</v>
      </c>
      <c r="Q20" s="125">
        <v>2988300</v>
      </c>
    </row>
    <row r="21" spans="1:17" ht="22.5" customHeight="1">
      <c r="A21" s="123">
        <v>202409</v>
      </c>
      <c r="B21" s="124">
        <v>45548</v>
      </c>
      <c r="C21" s="123" t="s">
        <v>13</v>
      </c>
      <c r="D21" s="123">
        <v>81197799640</v>
      </c>
      <c r="E21" s="123">
        <v>1540</v>
      </c>
      <c r="F21" s="157">
        <f t="shared" si="1"/>
        <v>35983.054545454543</v>
      </c>
      <c r="G21" s="125">
        <v>55413904</v>
      </c>
      <c r="H21" s="125">
        <v>55413000</v>
      </c>
      <c r="I21" s="125">
        <v>5541200</v>
      </c>
      <c r="J21" s="125">
        <v>0</v>
      </c>
      <c r="K21" s="126">
        <f t="shared" si="2"/>
        <v>4322200</v>
      </c>
      <c r="L21" s="126">
        <f t="shared" si="3"/>
        <v>1219000</v>
      </c>
      <c r="M21" s="123">
        <v>740</v>
      </c>
      <c r="N21" s="126">
        <f t="shared" si="4"/>
        <v>26627000</v>
      </c>
      <c r="O21" s="126">
        <f t="shared" si="5"/>
        <v>2076900</v>
      </c>
      <c r="P21" s="126">
        <f t="shared" si="0"/>
        <v>585700</v>
      </c>
      <c r="Q21" s="125">
        <v>2662600</v>
      </c>
    </row>
    <row r="22" spans="1:17" ht="22.5" customHeight="1">
      <c r="A22" s="123">
        <v>202409</v>
      </c>
      <c r="B22" s="124">
        <v>45559</v>
      </c>
      <c r="C22" s="123" t="s">
        <v>48</v>
      </c>
      <c r="D22" s="123">
        <v>81197962740</v>
      </c>
      <c r="E22" s="123">
        <v>399</v>
      </c>
      <c r="F22" s="157">
        <f t="shared" si="1"/>
        <v>37690.874686716794</v>
      </c>
      <c r="G22" s="125">
        <v>15038659</v>
      </c>
      <c r="H22" s="125">
        <v>15038000</v>
      </c>
      <c r="I22" s="125">
        <v>1503700</v>
      </c>
      <c r="J22" s="125">
        <v>0</v>
      </c>
      <c r="K22" s="126">
        <f t="shared" si="2"/>
        <v>1172900</v>
      </c>
      <c r="L22" s="126">
        <f t="shared" si="3"/>
        <v>330800</v>
      </c>
      <c r="M22" s="123">
        <v>399</v>
      </c>
      <c r="N22" s="126">
        <f t="shared" si="4"/>
        <v>15038000</v>
      </c>
      <c r="O22" s="126">
        <f t="shared" si="5"/>
        <v>1172900</v>
      </c>
      <c r="P22" s="126">
        <f t="shared" si="0"/>
        <v>330800</v>
      </c>
      <c r="Q22" s="125">
        <v>1503700</v>
      </c>
    </row>
    <row r="23" spans="1:17" ht="22.5" customHeight="1">
      <c r="A23" s="123">
        <v>202409</v>
      </c>
      <c r="B23" s="124">
        <v>45560</v>
      </c>
      <c r="C23" s="123" t="s">
        <v>13</v>
      </c>
      <c r="D23" s="123">
        <v>81197981160</v>
      </c>
      <c r="E23" s="123">
        <v>100</v>
      </c>
      <c r="F23" s="157">
        <f t="shared" si="1"/>
        <v>35008.33</v>
      </c>
      <c r="G23" s="125">
        <v>3500833</v>
      </c>
      <c r="H23" s="125">
        <v>3500000</v>
      </c>
      <c r="I23" s="125">
        <v>350000</v>
      </c>
      <c r="J23" s="125">
        <v>0</v>
      </c>
      <c r="K23" s="126">
        <f t="shared" si="2"/>
        <v>273000</v>
      </c>
      <c r="L23" s="126">
        <f t="shared" si="3"/>
        <v>77000</v>
      </c>
      <c r="M23" s="123">
        <v>0</v>
      </c>
      <c r="N23" s="126">
        <f t="shared" si="4"/>
        <v>0</v>
      </c>
      <c r="O23" s="126">
        <f t="shared" si="5"/>
        <v>0</v>
      </c>
      <c r="P23" s="126">
        <f t="shared" si="0"/>
        <v>0</v>
      </c>
      <c r="Q23" s="125">
        <v>0</v>
      </c>
    </row>
    <row r="24" spans="1:17" ht="22.5" customHeight="1">
      <c r="A24" s="123">
        <v>202410</v>
      </c>
      <c r="B24" s="124">
        <v>45581</v>
      </c>
      <c r="C24" s="123" t="s">
        <v>48</v>
      </c>
      <c r="D24" s="123">
        <v>81198362220</v>
      </c>
      <c r="E24" s="123">
        <v>554.34</v>
      </c>
      <c r="F24" s="157">
        <f t="shared" si="1"/>
        <v>37750.144315762889</v>
      </c>
      <c r="G24" s="125">
        <v>20926415</v>
      </c>
      <c r="H24" s="125">
        <v>20926000</v>
      </c>
      <c r="I24" s="125">
        <v>2092500</v>
      </c>
      <c r="J24" s="125">
        <v>0</v>
      </c>
      <c r="K24" s="126">
        <f t="shared" si="2"/>
        <v>1632200</v>
      </c>
      <c r="L24" s="126">
        <f t="shared" si="3"/>
        <v>460300</v>
      </c>
      <c r="M24" s="123">
        <v>0</v>
      </c>
      <c r="N24" s="126">
        <f t="shared" si="4"/>
        <v>0</v>
      </c>
      <c r="O24" s="126">
        <f t="shared" si="5"/>
        <v>0</v>
      </c>
      <c r="P24" s="126">
        <f t="shared" si="0"/>
        <v>0</v>
      </c>
      <c r="Q24" s="125">
        <v>0</v>
      </c>
    </row>
    <row r="25" spans="1:17" ht="22.5" customHeight="1">
      <c r="A25" s="123">
        <v>202410</v>
      </c>
      <c r="B25" s="124">
        <v>45586</v>
      </c>
      <c r="C25" s="123" t="s">
        <v>48</v>
      </c>
      <c r="D25" s="123">
        <v>81198450160</v>
      </c>
      <c r="E25" s="123">
        <v>619.5</v>
      </c>
      <c r="F25" s="157">
        <f t="shared" si="1"/>
        <v>38696.112994350282</v>
      </c>
      <c r="G25" s="125">
        <v>23972242</v>
      </c>
      <c r="H25" s="125">
        <v>23972000</v>
      </c>
      <c r="I25" s="125">
        <v>2397100</v>
      </c>
      <c r="J25" s="125">
        <v>0</v>
      </c>
      <c r="K25" s="126">
        <f t="shared" si="2"/>
        <v>1869800</v>
      </c>
      <c r="L25" s="126">
        <f t="shared" si="3"/>
        <v>527300</v>
      </c>
      <c r="M25" s="123">
        <v>0</v>
      </c>
      <c r="N25" s="126">
        <f t="shared" si="4"/>
        <v>0</v>
      </c>
      <c r="O25" s="126">
        <f t="shared" si="5"/>
        <v>0</v>
      </c>
      <c r="P25" s="126">
        <f t="shared" si="0"/>
        <v>0</v>
      </c>
      <c r="Q25" s="125">
        <v>0</v>
      </c>
    </row>
    <row r="26" spans="1:17" ht="22.5" customHeight="1">
      <c r="A26" s="123">
        <v>202410</v>
      </c>
      <c r="B26" s="124">
        <v>45587</v>
      </c>
      <c r="C26" s="123" t="s">
        <v>48</v>
      </c>
      <c r="D26" s="123">
        <v>81198475360</v>
      </c>
      <c r="E26" s="123">
        <v>347.07</v>
      </c>
      <c r="F26" s="157">
        <f t="shared" si="1"/>
        <v>42417.690955714985</v>
      </c>
      <c r="G26" s="125">
        <v>14721908</v>
      </c>
      <c r="H26" s="125">
        <v>14721000</v>
      </c>
      <c r="I26" s="125">
        <v>1472000</v>
      </c>
      <c r="J26" s="125">
        <v>0</v>
      </c>
      <c r="K26" s="126">
        <f t="shared" si="2"/>
        <v>1148200</v>
      </c>
      <c r="L26" s="126">
        <f t="shared" si="3"/>
        <v>323800</v>
      </c>
      <c r="M26" s="123">
        <v>347.07</v>
      </c>
      <c r="N26" s="126">
        <f t="shared" si="4"/>
        <v>14721000</v>
      </c>
      <c r="O26" s="126">
        <f t="shared" si="5"/>
        <v>1148200</v>
      </c>
      <c r="P26" s="126">
        <f t="shared" si="0"/>
        <v>323800</v>
      </c>
      <c r="Q26" s="125">
        <v>1472000</v>
      </c>
    </row>
    <row r="27" spans="1:17" ht="22.5" customHeight="1">
      <c r="A27" s="123">
        <v>202410</v>
      </c>
      <c r="B27" s="124">
        <v>45589</v>
      </c>
      <c r="C27" s="123" t="s">
        <v>13</v>
      </c>
      <c r="D27" s="123">
        <v>81198521600</v>
      </c>
      <c r="E27" s="123">
        <v>1900</v>
      </c>
      <c r="F27" s="157">
        <f t="shared" si="1"/>
        <v>34917.043157894739</v>
      </c>
      <c r="G27" s="125">
        <v>66342382</v>
      </c>
      <c r="H27" s="125">
        <v>66342000</v>
      </c>
      <c r="I27" s="125">
        <v>6634100</v>
      </c>
      <c r="J27" s="125">
        <v>0</v>
      </c>
      <c r="K27" s="126">
        <f t="shared" si="2"/>
        <v>5174600</v>
      </c>
      <c r="L27" s="126">
        <f t="shared" si="3"/>
        <v>1459500</v>
      </c>
      <c r="M27" s="123">
        <v>900</v>
      </c>
      <c r="N27" s="126">
        <f t="shared" si="4"/>
        <v>31425200</v>
      </c>
      <c r="O27" s="126">
        <f t="shared" si="5"/>
        <v>2451100</v>
      </c>
      <c r="P27" s="126">
        <f t="shared" si="0"/>
        <v>691400</v>
      </c>
      <c r="Q27" s="125">
        <v>3142500</v>
      </c>
    </row>
    <row r="28" spans="1:17" ht="22.5" customHeight="1">
      <c r="A28" s="123">
        <v>202411</v>
      </c>
      <c r="B28" s="124">
        <v>45604</v>
      </c>
      <c r="C28" s="123" t="s">
        <v>13</v>
      </c>
      <c r="D28" s="123">
        <v>81198787560</v>
      </c>
      <c r="E28" s="123">
        <v>2080</v>
      </c>
      <c r="F28" s="157">
        <f t="shared" si="1"/>
        <v>35293.946634615386</v>
      </c>
      <c r="G28" s="125">
        <v>73411409</v>
      </c>
      <c r="H28" s="125">
        <v>73411000</v>
      </c>
      <c r="I28" s="125">
        <v>7341000</v>
      </c>
      <c r="J28" s="125">
        <v>0</v>
      </c>
      <c r="K28" s="126">
        <f t="shared" si="2"/>
        <v>5726000</v>
      </c>
      <c r="L28" s="126">
        <f t="shared" si="3"/>
        <v>1615000</v>
      </c>
      <c r="M28" s="123">
        <v>980</v>
      </c>
      <c r="N28" s="126">
        <f t="shared" si="4"/>
        <v>34587900</v>
      </c>
      <c r="O28" s="126">
        <f t="shared" si="5"/>
        <v>2697800</v>
      </c>
      <c r="P28" s="126">
        <f t="shared" si="0"/>
        <v>760900</v>
      </c>
      <c r="Q28" s="125">
        <v>3458700</v>
      </c>
    </row>
    <row r="29" spans="1:17" ht="22.5" customHeight="1">
      <c r="A29" s="123">
        <v>202412</v>
      </c>
      <c r="B29" s="124">
        <v>45628</v>
      </c>
      <c r="C29" s="123" t="s">
        <v>48</v>
      </c>
      <c r="D29" s="123">
        <v>81199199050</v>
      </c>
      <c r="E29" s="123">
        <v>250</v>
      </c>
      <c r="F29" s="157">
        <f t="shared" si="1"/>
        <v>41394.603999999999</v>
      </c>
      <c r="G29" s="125">
        <v>10348651</v>
      </c>
      <c r="H29" s="125">
        <v>10348000</v>
      </c>
      <c r="I29" s="125">
        <v>1034700</v>
      </c>
      <c r="J29" s="125">
        <v>0</v>
      </c>
      <c r="K29" s="126">
        <f t="shared" si="2"/>
        <v>807100</v>
      </c>
      <c r="L29" s="126">
        <f t="shared" si="3"/>
        <v>227600</v>
      </c>
      <c r="M29" s="123">
        <v>0</v>
      </c>
      <c r="N29" s="126">
        <f t="shared" si="4"/>
        <v>0</v>
      </c>
      <c r="O29" s="126">
        <f t="shared" si="5"/>
        <v>0</v>
      </c>
      <c r="P29" s="126">
        <f t="shared" si="0"/>
        <v>0</v>
      </c>
      <c r="Q29" s="125">
        <v>0</v>
      </c>
    </row>
    <row r="30" spans="1:17" ht="22.5" customHeight="1">
      <c r="A30" s="123">
        <v>202412</v>
      </c>
      <c r="B30" s="124">
        <v>45629</v>
      </c>
      <c r="C30" s="123" t="s">
        <v>48</v>
      </c>
      <c r="D30" s="123">
        <v>81199218540</v>
      </c>
      <c r="E30" s="123">
        <v>420</v>
      </c>
      <c r="F30" s="157">
        <f t="shared" si="1"/>
        <v>43359.742857142854</v>
      </c>
      <c r="G30" s="125">
        <v>18211092</v>
      </c>
      <c r="H30" s="125">
        <v>18211000</v>
      </c>
      <c r="I30" s="125">
        <v>1821000</v>
      </c>
      <c r="J30" s="125">
        <v>0</v>
      </c>
      <c r="K30" s="126">
        <f t="shared" si="2"/>
        <v>1420400</v>
      </c>
      <c r="L30" s="126">
        <f t="shared" si="3"/>
        <v>400600</v>
      </c>
      <c r="M30" s="123">
        <v>0</v>
      </c>
      <c r="N30" s="126">
        <f t="shared" si="4"/>
        <v>0</v>
      </c>
      <c r="O30" s="126">
        <f t="shared" si="5"/>
        <v>0</v>
      </c>
      <c r="P30" s="126">
        <f t="shared" si="0"/>
        <v>0</v>
      </c>
      <c r="Q30" s="125">
        <v>0</v>
      </c>
    </row>
    <row r="31" spans="1:17" ht="22.5" customHeight="1">
      <c r="A31" s="123">
        <v>202412</v>
      </c>
      <c r="B31" s="124">
        <v>45638</v>
      </c>
      <c r="C31" s="123" t="s">
        <v>13</v>
      </c>
      <c r="D31" s="123">
        <v>81199404520</v>
      </c>
      <c r="E31" s="123">
        <v>1350</v>
      </c>
      <c r="F31" s="157">
        <f t="shared" si="1"/>
        <v>37718.769629629627</v>
      </c>
      <c r="G31" s="125">
        <v>50920339</v>
      </c>
      <c r="H31" s="125">
        <v>50920000</v>
      </c>
      <c r="I31" s="125">
        <v>5091900</v>
      </c>
      <c r="J31" s="125">
        <v>0</v>
      </c>
      <c r="K31" s="126">
        <f t="shared" si="2"/>
        <v>3971700</v>
      </c>
      <c r="L31" s="126">
        <f t="shared" si="3"/>
        <v>1120200</v>
      </c>
      <c r="M31" s="123">
        <v>800</v>
      </c>
      <c r="N31" s="126">
        <f t="shared" si="4"/>
        <v>30174800</v>
      </c>
      <c r="O31" s="126">
        <f t="shared" si="5"/>
        <v>2353600</v>
      </c>
      <c r="P31" s="126">
        <f t="shared" si="0"/>
        <v>663800</v>
      </c>
      <c r="Q31" s="125">
        <v>3017400</v>
      </c>
    </row>
    <row r="32" spans="1:17" ht="22.5" customHeight="1">
      <c r="A32" s="123">
        <v>202412</v>
      </c>
      <c r="B32" s="124">
        <v>45642</v>
      </c>
      <c r="C32" s="123" t="s">
        <v>13</v>
      </c>
      <c r="D32" s="123">
        <v>81199466930</v>
      </c>
      <c r="E32" s="123">
        <v>500</v>
      </c>
      <c r="F32" s="157">
        <f t="shared" si="1"/>
        <v>56084.552000000003</v>
      </c>
      <c r="G32" s="125">
        <v>28042276</v>
      </c>
      <c r="H32" s="125">
        <v>28042000</v>
      </c>
      <c r="I32" s="125">
        <v>2804100</v>
      </c>
      <c r="J32" s="125">
        <v>0</v>
      </c>
      <c r="K32" s="126">
        <f t="shared" si="2"/>
        <v>2187200</v>
      </c>
      <c r="L32" s="126">
        <f t="shared" si="3"/>
        <v>616900</v>
      </c>
      <c r="M32" s="123">
        <v>0</v>
      </c>
      <c r="N32" s="126">
        <f t="shared" si="4"/>
        <v>0</v>
      </c>
      <c r="O32" s="126">
        <f t="shared" si="5"/>
        <v>0</v>
      </c>
      <c r="P32" s="126">
        <f t="shared" si="0"/>
        <v>0</v>
      </c>
      <c r="Q32" s="125">
        <v>0</v>
      </c>
    </row>
    <row r="33" spans="1:18" ht="22.5" customHeight="1">
      <c r="A33" s="123">
        <v>202412</v>
      </c>
      <c r="B33" s="124">
        <v>45645</v>
      </c>
      <c r="C33" s="123" t="s">
        <v>48</v>
      </c>
      <c r="D33" s="123">
        <v>81199566810</v>
      </c>
      <c r="E33" s="123">
        <v>765.77</v>
      </c>
      <c r="F33" s="157">
        <f t="shared" si="1"/>
        <v>39165.180145474493</v>
      </c>
      <c r="G33" s="125">
        <v>29991520</v>
      </c>
      <c r="H33" s="125">
        <v>29991000</v>
      </c>
      <c r="I33" s="125">
        <v>2998900</v>
      </c>
      <c r="J33" s="125">
        <v>0</v>
      </c>
      <c r="K33" s="126">
        <f t="shared" si="2"/>
        <v>2339200</v>
      </c>
      <c r="L33" s="126">
        <f t="shared" si="3"/>
        <v>659700</v>
      </c>
      <c r="M33" s="123">
        <v>0</v>
      </c>
      <c r="N33" s="126">
        <f t="shared" si="4"/>
        <v>0</v>
      </c>
      <c r="O33" s="126">
        <f t="shared" si="5"/>
        <v>0</v>
      </c>
      <c r="P33" s="126">
        <f t="shared" si="0"/>
        <v>0</v>
      </c>
      <c r="Q33" s="125">
        <v>0</v>
      </c>
    </row>
    <row r="34" spans="1:18" ht="22.5" customHeight="1">
      <c r="A34" s="123">
        <v>202501</v>
      </c>
      <c r="B34" s="124">
        <v>45674</v>
      </c>
      <c r="C34" s="123" t="s">
        <v>48</v>
      </c>
      <c r="D34" s="123">
        <v>81199925320</v>
      </c>
      <c r="E34" s="123">
        <v>400</v>
      </c>
      <c r="F34" s="157">
        <f t="shared" si="1"/>
        <v>42940.3</v>
      </c>
      <c r="G34" s="125">
        <v>17176120</v>
      </c>
      <c r="H34" s="125">
        <v>17176000</v>
      </c>
      <c r="I34" s="125">
        <v>1717500</v>
      </c>
      <c r="J34" s="125">
        <v>0</v>
      </c>
      <c r="K34" s="126">
        <f t="shared" si="2"/>
        <v>1339700</v>
      </c>
      <c r="L34" s="126">
        <f t="shared" si="3"/>
        <v>377800</v>
      </c>
      <c r="M34" s="123">
        <v>0</v>
      </c>
      <c r="N34" s="126">
        <f t="shared" si="4"/>
        <v>0</v>
      </c>
      <c r="O34" s="126">
        <f t="shared" si="5"/>
        <v>0</v>
      </c>
      <c r="P34" s="126">
        <f t="shared" si="0"/>
        <v>0</v>
      </c>
      <c r="Q34" s="125">
        <v>0</v>
      </c>
    </row>
    <row r="35" spans="1:18" ht="22.5" customHeight="1">
      <c r="A35" s="123">
        <v>202501</v>
      </c>
      <c r="B35" s="124">
        <v>45681</v>
      </c>
      <c r="C35" s="123" t="s">
        <v>13</v>
      </c>
      <c r="D35" s="123">
        <v>81200089710</v>
      </c>
      <c r="E35" s="123">
        <v>1560</v>
      </c>
      <c r="F35" s="157">
        <f t="shared" si="1"/>
        <v>41307.446794871794</v>
      </c>
      <c r="G35" s="125">
        <v>64439617</v>
      </c>
      <c r="H35" s="125">
        <v>64439000</v>
      </c>
      <c r="I35" s="125">
        <v>6443800</v>
      </c>
      <c r="J35" s="125">
        <v>0</v>
      </c>
      <c r="K35" s="126">
        <f t="shared" si="2"/>
        <v>5026200</v>
      </c>
      <c r="L35" s="126">
        <f t="shared" si="3"/>
        <v>1417600</v>
      </c>
      <c r="M35" s="123">
        <v>560</v>
      </c>
      <c r="N35" s="126">
        <f t="shared" si="4"/>
        <v>23131900</v>
      </c>
      <c r="O35" s="126">
        <f t="shared" si="5"/>
        <v>1804200</v>
      </c>
      <c r="P35" s="126">
        <f t="shared" si="0"/>
        <v>509000</v>
      </c>
      <c r="Q35" s="125">
        <v>2313200</v>
      </c>
    </row>
    <row r="36" spans="1:18" ht="22.5" customHeight="1">
      <c r="A36" s="123">
        <v>202502</v>
      </c>
      <c r="B36" s="124">
        <v>45698</v>
      </c>
      <c r="C36" s="123" t="s">
        <v>48</v>
      </c>
      <c r="D36" s="123">
        <v>81200361860</v>
      </c>
      <c r="E36" s="123">
        <v>577.5</v>
      </c>
      <c r="F36" s="157">
        <f t="shared" si="1"/>
        <v>40629.721212121214</v>
      </c>
      <c r="G36" s="125">
        <v>23463664</v>
      </c>
      <c r="H36" s="125">
        <v>23463000</v>
      </c>
      <c r="I36" s="125">
        <v>2346200</v>
      </c>
      <c r="J36" s="125">
        <v>0</v>
      </c>
      <c r="K36" s="126">
        <f t="shared" si="2"/>
        <v>1830100</v>
      </c>
      <c r="L36" s="126">
        <f t="shared" si="3"/>
        <v>516100</v>
      </c>
      <c r="M36" s="123">
        <v>0</v>
      </c>
      <c r="N36" s="126">
        <f t="shared" si="4"/>
        <v>0</v>
      </c>
      <c r="O36" s="126">
        <f t="shared" si="5"/>
        <v>0</v>
      </c>
      <c r="P36" s="126">
        <f t="shared" si="0"/>
        <v>0</v>
      </c>
      <c r="Q36" s="125">
        <v>0</v>
      </c>
    </row>
    <row r="37" spans="1:18" ht="22.5" customHeight="1">
      <c r="A37" s="123">
        <v>202502</v>
      </c>
      <c r="B37" s="124">
        <v>45708</v>
      </c>
      <c r="C37" s="123" t="s">
        <v>48</v>
      </c>
      <c r="D37" s="123">
        <v>81200593450</v>
      </c>
      <c r="E37" s="123">
        <v>189</v>
      </c>
      <c r="F37" s="157">
        <f t="shared" si="1"/>
        <v>39052.492063492064</v>
      </c>
      <c r="G37" s="125">
        <v>7380921</v>
      </c>
      <c r="H37" s="125">
        <v>7380000</v>
      </c>
      <c r="I37" s="125">
        <v>737900</v>
      </c>
      <c r="J37" s="125">
        <v>0</v>
      </c>
      <c r="K37" s="126">
        <f t="shared" si="2"/>
        <v>575600</v>
      </c>
      <c r="L37" s="126">
        <f t="shared" si="3"/>
        <v>162300</v>
      </c>
      <c r="M37" s="123">
        <v>189</v>
      </c>
      <c r="N37" s="126">
        <f t="shared" si="4"/>
        <v>7380000</v>
      </c>
      <c r="O37" s="126">
        <f t="shared" si="5"/>
        <v>575600</v>
      </c>
      <c r="P37" s="126">
        <f t="shared" si="0"/>
        <v>162300</v>
      </c>
      <c r="Q37" s="125">
        <v>737900</v>
      </c>
      <c r="R37" s="123" t="s">
        <v>114</v>
      </c>
    </row>
    <row r="38" spans="1:18" ht="22.5" customHeight="1">
      <c r="A38" s="123">
        <v>202502</v>
      </c>
      <c r="B38" s="124">
        <v>45713</v>
      </c>
      <c r="C38" s="123" t="s">
        <v>13</v>
      </c>
      <c r="D38" s="123">
        <v>81200652950</v>
      </c>
      <c r="E38" s="123">
        <v>1230</v>
      </c>
      <c r="F38" s="157">
        <f t="shared" si="1"/>
        <v>38815.462601626015</v>
      </c>
      <c r="G38" s="125">
        <v>47743019</v>
      </c>
      <c r="H38" s="125">
        <v>47743000</v>
      </c>
      <c r="I38" s="125">
        <v>4774200</v>
      </c>
      <c r="J38" s="125">
        <v>0</v>
      </c>
      <c r="K38" s="126">
        <f t="shared" si="2"/>
        <v>3723900</v>
      </c>
      <c r="L38" s="126">
        <f t="shared" si="3"/>
        <v>1050300</v>
      </c>
      <c r="M38" s="123">
        <v>730</v>
      </c>
      <c r="N38" s="126">
        <f t="shared" si="4"/>
        <v>28335300</v>
      </c>
      <c r="O38" s="126">
        <f t="shared" si="5"/>
        <v>2210100</v>
      </c>
      <c r="P38" s="126">
        <f t="shared" si="0"/>
        <v>623300</v>
      </c>
      <c r="Q38" s="125">
        <v>2833400</v>
      </c>
    </row>
    <row r="39" spans="1:18" ht="22.5" customHeight="1">
      <c r="A39" s="123">
        <v>202502</v>
      </c>
      <c r="B39" s="124">
        <v>45716</v>
      </c>
      <c r="C39" s="123" t="s">
        <v>48</v>
      </c>
      <c r="D39" s="123">
        <v>81200702800</v>
      </c>
      <c r="E39" s="123">
        <v>357</v>
      </c>
      <c r="F39" s="157">
        <f t="shared" si="1"/>
        <v>40108.288515406166</v>
      </c>
      <c r="G39" s="125">
        <v>14318659</v>
      </c>
      <c r="H39" s="125">
        <v>14318000</v>
      </c>
      <c r="I39" s="125">
        <v>1431700</v>
      </c>
      <c r="J39" s="125">
        <v>0</v>
      </c>
      <c r="K39" s="126">
        <f t="shared" si="2"/>
        <v>1116800</v>
      </c>
      <c r="L39" s="126">
        <f t="shared" si="3"/>
        <v>314900</v>
      </c>
      <c r="M39" s="123">
        <v>0</v>
      </c>
      <c r="N39" s="126">
        <f t="shared" si="4"/>
        <v>0</v>
      </c>
      <c r="O39" s="126">
        <f t="shared" si="5"/>
        <v>0</v>
      </c>
      <c r="P39" s="126">
        <f t="shared" si="0"/>
        <v>0</v>
      </c>
      <c r="Q39" s="125">
        <v>0</v>
      </c>
    </row>
    <row r="40" spans="1:18" ht="22.5" customHeight="1">
      <c r="A40" s="123">
        <v>202503</v>
      </c>
      <c r="B40" s="124">
        <v>45721</v>
      </c>
      <c r="C40" s="123" t="s">
        <v>48</v>
      </c>
      <c r="D40" s="123">
        <v>81200779210</v>
      </c>
      <c r="E40" s="123">
        <v>231</v>
      </c>
      <c r="F40" s="157">
        <f t="shared" si="1"/>
        <v>39869.268398268396</v>
      </c>
      <c r="G40" s="125">
        <v>9209801</v>
      </c>
      <c r="H40" s="125">
        <v>9209000</v>
      </c>
      <c r="I40" s="125">
        <v>920800</v>
      </c>
      <c r="J40" s="125">
        <v>0</v>
      </c>
      <c r="K40" s="126">
        <f t="shared" si="2"/>
        <v>718300</v>
      </c>
      <c r="L40" s="126">
        <f t="shared" si="3"/>
        <v>202500</v>
      </c>
      <c r="M40" s="123">
        <v>0</v>
      </c>
      <c r="N40" s="126">
        <f t="shared" si="4"/>
        <v>0</v>
      </c>
      <c r="O40" s="126">
        <f t="shared" si="5"/>
        <v>0</v>
      </c>
      <c r="P40" s="126">
        <f t="shared" si="0"/>
        <v>0</v>
      </c>
      <c r="Q40" s="125">
        <v>0</v>
      </c>
    </row>
    <row r="41" spans="1:18" ht="22.5" customHeight="1">
      <c r="A41" s="123">
        <v>202503</v>
      </c>
      <c r="B41" s="124">
        <v>45726</v>
      </c>
      <c r="C41" s="123" t="s">
        <v>48</v>
      </c>
      <c r="D41" s="123">
        <v>81200869730</v>
      </c>
      <c r="E41" s="123">
        <v>367.5</v>
      </c>
      <c r="F41" s="157">
        <f t="shared" si="1"/>
        <v>39387.017687074833</v>
      </c>
      <c r="G41" s="125">
        <v>14474729</v>
      </c>
      <c r="H41" s="125">
        <v>14474000</v>
      </c>
      <c r="I41" s="125">
        <v>1447300</v>
      </c>
      <c r="J41" s="125">
        <v>0</v>
      </c>
      <c r="K41" s="126">
        <f t="shared" si="2"/>
        <v>1128900</v>
      </c>
      <c r="L41" s="126">
        <f t="shared" si="3"/>
        <v>318400</v>
      </c>
      <c r="M41" s="123">
        <v>0</v>
      </c>
      <c r="N41" s="126">
        <f t="shared" si="4"/>
        <v>0</v>
      </c>
      <c r="O41" s="126">
        <f t="shared" si="5"/>
        <v>0</v>
      </c>
      <c r="P41" s="126">
        <f t="shared" si="0"/>
        <v>0</v>
      </c>
      <c r="Q41" s="125">
        <v>0</v>
      </c>
    </row>
    <row r="42" spans="1:18" ht="22.5" customHeight="1">
      <c r="A42" s="123">
        <v>202503</v>
      </c>
      <c r="B42" s="124">
        <v>45735</v>
      </c>
      <c r="C42" s="123" t="s">
        <v>13</v>
      </c>
      <c r="D42" s="123">
        <v>81201044730</v>
      </c>
      <c r="E42" s="123">
        <v>1825</v>
      </c>
      <c r="F42" s="157">
        <f t="shared" si="1"/>
        <v>41276.686575342464</v>
      </c>
      <c r="G42" s="125">
        <v>75329953</v>
      </c>
      <c r="H42" s="125">
        <v>75329000</v>
      </c>
      <c r="I42" s="125">
        <v>7532800</v>
      </c>
      <c r="J42" s="125">
        <v>0</v>
      </c>
      <c r="K42" s="126">
        <f t="shared" si="2"/>
        <v>5875600</v>
      </c>
      <c r="L42" s="126">
        <f t="shared" si="3"/>
        <v>1657200</v>
      </c>
      <c r="M42" s="123">
        <v>850</v>
      </c>
      <c r="N42" s="126">
        <f t="shared" si="4"/>
        <v>35084700</v>
      </c>
      <c r="O42" s="126">
        <f t="shared" si="5"/>
        <v>2736600</v>
      </c>
      <c r="P42" s="126">
        <f t="shared" si="0"/>
        <v>771800</v>
      </c>
      <c r="Q42" s="125">
        <v>3508400</v>
      </c>
    </row>
    <row r="43" spans="1:18" ht="22.5" customHeight="1">
      <c r="A43" s="123">
        <v>202503</v>
      </c>
      <c r="B43" s="124">
        <v>45735</v>
      </c>
      <c r="C43" s="123" t="s">
        <v>48</v>
      </c>
      <c r="D43" s="123">
        <v>81200593450</v>
      </c>
      <c r="E43" s="123">
        <v>189</v>
      </c>
      <c r="F43" s="157">
        <f t="shared" si="1"/>
        <v>39244.677248677246</v>
      </c>
      <c r="G43" s="125">
        <f>7417244</f>
        <v>7417244</v>
      </c>
      <c r="H43" s="125">
        <f>7417000</f>
        <v>7417000</v>
      </c>
      <c r="I43" s="125">
        <v>3700</v>
      </c>
      <c r="J43" s="125">
        <v>0</v>
      </c>
      <c r="K43" s="126">
        <f>ROUNDDOWN(H43*7.8/100,-2)-K37</f>
        <v>2900</v>
      </c>
      <c r="L43" s="126">
        <f t="shared" si="3"/>
        <v>800</v>
      </c>
      <c r="M43" s="123">
        <v>189</v>
      </c>
      <c r="N43" s="126">
        <f t="shared" si="4"/>
        <v>7417000</v>
      </c>
      <c r="O43" s="126">
        <f>ROUNDDOWN(N43*7.8/100,-2)-O37</f>
        <v>2900</v>
      </c>
      <c r="P43" s="126">
        <f t="shared" si="0"/>
        <v>800</v>
      </c>
      <c r="Q43" s="125">
        <v>3700</v>
      </c>
      <c r="R43" s="123" t="s">
        <v>115</v>
      </c>
    </row>
    <row r="44" spans="1:18" ht="22.5" customHeight="1">
      <c r="A44" s="123">
        <v>202503</v>
      </c>
      <c r="B44" s="124">
        <v>45741</v>
      </c>
      <c r="C44" s="123" t="s">
        <v>48</v>
      </c>
      <c r="D44" s="123">
        <v>81201120920</v>
      </c>
      <c r="E44" s="123">
        <v>399</v>
      </c>
      <c r="F44" s="157">
        <f t="shared" si="1"/>
        <v>38161.017543859649</v>
      </c>
      <c r="G44" s="125">
        <v>15226246</v>
      </c>
      <c r="H44" s="125">
        <v>15226000</v>
      </c>
      <c r="I44" s="125">
        <v>1522500</v>
      </c>
      <c r="J44" s="125">
        <v>0</v>
      </c>
      <c r="K44" s="126">
        <f t="shared" si="2"/>
        <v>1187600</v>
      </c>
      <c r="L44" s="126">
        <f t="shared" si="3"/>
        <v>334900</v>
      </c>
      <c r="M44" s="123">
        <v>0</v>
      </c>
      <c r="N44" s="126">
        <f t="shared" si="4"/>
        <v>0</v>
      </c>
      <c r="O44" s="126">
        <f t="shared" si="5"/>
        <v>0</v>
      </c>
      <c r="P44" s="126">
        <f t="shared" si="0"/>
        <v>0</v>
      </c>
      <c r="Q44" s="125">
        <v>0</v>
      </c>
    </row>
    <row r="45" spans="1:18" ht="22.5" customHeight="1">
      <c r="A45" s="123">
        <v>202503</v>
      </c>
      <c r="B45" s="124">
        <v>45742</v>
      </c>
      <c r="C45" s="123" t="s">
        <v>48</v>
      </c>
      <c r="D45" s="123">
        <v>81201165020</v>
      </c>
      <c r="E45" s="123">
        <v>120</v>
      </c>
      <c r="F45" s="157">
        <f t="shared" si="1"/>
        <v>37707.074999999997</v>
      </c>
      <c r="G45" s="125">
        <v>4524849</v>
      </c>
      <c r="H45" s="125">
        <v>4524000</v>
      </c>
      <c r="I45" s="125">
        <v>452300</v>
      </c>
      <c r="J45" s="125">
        <v>0</v>
      </c>
      <c r="K45" s="126">
        <f t="shared" si="2"/>
        <v>352800</v>
      </c>
      <c r="L45" s="126">
        <f t="shared" si="3"/>
        <v>99500</v>
      </c>
      <c r="M45" s="123">
        <v>120</v>
      </c>
      <c r="N45" s="126">
        <f t="shared" si="4"/>
        <v>4524000</v>
      </c>
      <c r="O45" s="126">
        <f t="shared" si="5"/>
        <v>352800</v>
      </c>
      <c r="P45" s="126">
        <f t="shared" si="0"/>
        <v>99500</v>
      </c>
      <c r="Q45" s="125">
        <v>452300</v>
      </c>
    </row>
    <row r="46" spans="1:18" ht="22.5" customHeight="1">
      <c r="F46" s="157" t="e">
        <f t="shared" si="1"/>
        <v>#DIV/0!</v>
      </c>
      <c r="K46" s="126">
        <f t="shared" si="2"/>
        <v>0</v>
      </c>
      <c r="L46" s="126">
        <f t="shared" si="3"/>
        <v>0</v>
      </c>
      <c r="N46" s="126" t="e">
        <f t="shared" si="4"/>
        <v>#DIV/0!</v>
      </c>
      <c r="O46" s="126" t="e">
        <f t="shared" si="5"/>
        <v>#DIV/0!</v>
      </c>
      <c r="P46" s="126" t="e">
        <f t="shared" si="0"/>
        <v>#DIV/0!</v>
      </c>
    </row>
    <row r="47" spans="1:18" ht="22.5" customHeight="1">
      <c r="F47" s="157" t="e">
        <f t="shared" si="1"/>
        <v>#DIV/0!</v>
      </c>
      <c r="K47" s="126">
        <f t="shared" si="2"/>
        <v>0</v>
      </c>
      <c r="L47" s="126">
        <f t="shared" si="3"/>
        <v>0</v>
      </c>
      <c r="N47" s="126" t="e">
        <f t="shared" si="4"/>
        <v>#DIV/0!</v>
      </c>
      <c r="O47" s="126" t="e">
        <f t="shared" si="5"/>
        <v>#DIV/0!</v>
      </c>
      <c r="P47" s="126" t="e">
        <f t="shared" si="0"/>
        <v>#DIV/0!</v>
      </c>
    </row>
    <row r="48" spans="1:18" ht="22.5" customHeight="1">
      <c r="F48" s="157" t="e">
        <f t="shared" si="1"/>
        <v>#DIV/0!</v>
      </c>
      <c r="K48" s="126">
        <f t="shared" si="2"/>
        <v>0</v>
      </c>
      <c r="L48" s="126">
        <f t="shared" si="3"/>
        <v>0</v>
      </c>
      <c r="N48" s="126" t="e">
        <f t="shared" si="4"/>
        <v>#DIV/0!</v>
      </c>
      <c r="O48" s="126" t="e">
        <f t="shared" si="5"/>
        <v>#DIV/0!</v>
      </c>
      <c r="P48" s="126" t="e">
        <f t="shared" si="0"/>
        <v>#DIV/0!</v>
      </c>
    </row>
    <row r="49" spans="6:17" ht="22.5" customHeight="1">
      <c r="F49" s="157" t="e">
        <f t="shared" si="1"/>
        <v>#DIV/0!</v>
      </c>
      <c r="K49" s="126">
        <f t="shared" si="2"/>
        <v>0</v>
      </c>
      <c r="L49" s="126">
        <f t="shared" si="3"/>
        <v>0</v>
      </c>
      <c r="N49" s="126" t="e">
        <f t="shared" si="4"/>
        <v>#DIV/0!</v>
      </c>
      <c r="O49" s="126" t="e">
        <f t="shared" si="5"/>
        <v>#DIV/0!</v>
      </c>
      <c r="P49" s="126" t="e">
        <f t="shared" si="0"/>
        <v>#DIV/0!</v>
      </c>
    </row>
    <row r="50" spans="6:17" ht="22.5" customHeight="1">
      <c r="F50" s="157" t="e">
        <f t="shared" si="1"/>
        <v>#DIV/0!</v>
      </c>
      <c r="K50" s="126">
        <f t="shared" si="2"/>
        <v>0</v>
      </c>
      <c r="L50" s="126">
        <f t="shared" si="3"/>
        <v>0</v>
      </c>
      <c r="N50" s="126" t="e">
        <f t="shared" si="4"/>
        <v>#DIV/0!</v>
      </c>
      <c r="O50" s="126" t="e">
        <f t="shared" si="5"/>
        <v>#DIV/0!</v>
      </c>
      <c r="P50" s="126" t="e">
        <f t="shared" si="0"/>
        <v>#DIV/0!</v>
      </c>
    </row>
    <row r="51" spans="6:17" ht="22.5" customHeight="1">
      <c r="F51" s="157" t="e">
        <f t="shared" si="1"/>
        <v>#DIV/0!</v>
      </c>
      <c r="K51" s="126">
        <f t="shared" si="2"/>
        <v>0</v>
      </c>
      <c r="L51" s="126">
        <f t="shared" si="3"/>
        <v>0</v>
      </c>
      <c r="N51" s="126" t="e">
        <f t="shared" si="4"/>
        <v>#DIV/0!</v>
      </c>
      <c r="O51" s="126" t="e">
        <f t="shared" si="5"/>
        <v>#DIV/0!</v>
      </c>
      <c r="P51" s="126" t="e">
        <f t="shared" si="0"/>
        <v>#DIV/0!</v>
      </c>
    </row>
    <row r="52" spans="6:17" ht="29.25" customHeight="1">
      <c r="N52" s="127"/>
      <c r="O52" s="126" t="e">
        <f>SUM(O4:O51)</f>
        <v>#DIV/0!</v>
      </c>
      <c r="P52" s="126" t="e">
        <f>SUM(P4:P51)</f>
        <v>#DIV/0!</v>
      </c>
      <c r="Q52" s="125">
        <f>SUM(Q4:Q51)</f>
        <v>47960400</v>
      </c>
    </row>
  </sheetData>
  <autoFilter ref="A3:Q52" xr:uid="{7FF02D80-10B7-45F2-B0EC-AD9433041671}"/>
  <phoneticPr fontId="1"/>
  <pageMargins left="0.7" right="0.7" top="0.75" bottom="0.75" header="0.3" footer="0.3"/>
  <pageSetup paperSize="9" scale="68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9DD6-F3C9-4137-91D0-53F7A3752E27}">
  <sheetPr>
    <pageSetUpPr fitToPage="1"/>
  </sheetPr>
  <dimension ref="A3:Q52"/>
  <sheetViews>
    <sheetView zoomScaleNormal="100" workbookViewId="0">
      <pane xSplit="1" ySplit="3" topLeftCell="B41" activePane="bottomRight" state="frozen"/>
      <selection pane="topRight" activeCell="B1" sqref="B1"/>
      <selection pane="bottomLeft" activeCell="A2" sqref="A2"/>
      <selection pane="bottomRight" activeCell="E44" sqref="E44"/>
    </sheetView>
  </sheetViews>
  <sheetFormatPr defaultRowHeight="14.25"/>
  <cols>
    <col min="1" max="1" width="14.125" style="123" customWidth="1"/>
    <col min="2" max="2" width="13.25" style="124" bestFit="1" customWidth="1"/>
    <col min="3" max="3" width="9.5" style="123" customWidth="1"/>
    <col min="4" max="4" width="18" style="123" customWidth="1"/>
    <col min="5" max="5" width="11.625" style="123" customWidth="1"/>
    <col min="6" max="6" width="9.625" style="138" customWidth="1"/>
    <col min="7" max="8" width="14.375" style="125" customWidth="1"/>
    <col min="9" max="9" width="12" style="125" bestFit="1" customWidth="1"/>
    <col min="10" max="10" width="7" style="125" customWidth="1"/>
    <col min="11" max="11" width="12.875" style="125" customWidth="1"/>
    <col min="12" max="12" width="14.75" style="125" customWidth="1"/>
    <col min="13" max="13" width="11.375" style="123" customWidth="1"/>
    <col min="14" max="14" width="12" style="123" bestFit="1" customWidth="1"/>
    <col min="15" max="16" width="16.75" style="125" customWidth="1"/>
    <col min="17" max="17" width="11.625" style="125" bestFit="1" customWidth="1"/>
    <col min="18" max="16384" width="9" style="123"/>
  </cols>
  <sheetData>
    <row r="3" spans="1:17" s="128" customFormat="1" ht="74.25" customHeight="1">
      <c r="A3" s="128" t="s">
        <v>54</v>
      </c>
      <c r="B3" s="129" t="s">
        <v>85</v>
      </c>
      <c r="C3" s="128" t="s">
        <v>50</v>
      </c>
      <c r="D3" s="128" t="s">
        <v>51</v>
      </c>
      <c r="E3" s="130" t="s">
        <v>77</v>
      </c>
      <c r="F3" s="156" t="s">
        <v>94</v>
      </c>
      <c r="G3" s="131" t="s">
        <v>86</v>
      </c>
      <c r="H3" s="135" t="s">
        <v>93</v>
      </c>
      <c r="I3" s="131" t="s">
        <v>87</v>
      </c>
      <c r="J3" s="132" t="s">
        <v>88</v>
      </c>
      <c r="K3" s="131" t="s">
        <v>89</v>
      </c>
      <c r="L3" s="131" t="s">
        <v>90</v>
      </c>
      <c r="M3" s="133" t="s">
        <v>82</v>
      </c>
      <c r="N3" s="133" t="s">
        <v>83</v>
      </c>
      <c r="O3" s="134" t="s">
        <v>80</v>
      </c>
      <c r="P3" s="134" t="s">
        <v>81</v>
      </c>
      <c r="Q3" s="122" t="s">
        <v>84</v>
      </c>
    </row>
    <row r="4" spans="1:17" ht="22.5" customHeight="1">
      <c r="A4" s="123">
        <v>202304</v>
      </c>
      <c r="B4" s="124">
        <v>45034</v>
      </c>
      <c r="C4" s="123" t="s">
        <v>13</v>
      </c>
      <c r="D4" s="123">
        <v>81188665230</v>
      </c>
      <c r="E4" s="123">
        <v>530</v>
      </c>
      <c r="F4" s="157">
        <f>G4/E4</f>
        <v>46998.445283018867</v>
      </c>
      <c r="G4" s="125">
        <v>24909176</v>
      </c>
      <c r="H4" s="125">
        <v>24909000</v>
      </c>
      <c r="I4" s="125">
        <v>2490800</v>
      </c>
      <c r="J4" s="125">
        <v>0</v>
      </c>
      <c r="K4" s="126">
        <f>ROUNDDOWN(H4*7.8/100,-2)</f>
        <v>1942900</v>
      </c>
      <c r="L4" s="126">
        <f>I4-K4</f>
        <v>547900</v>
      </c>
      <c r="M4" s="123">
        <v>180</v>
      </c>
      <c r="N4" s="126">
        <f>ROUND(H4/E4*M4,-2)</f>
        <v>8459700</v>
      </c>
      <c r="O4" s="126">
        <f>ROUNDDOWN(N4*7.8/100,-2)</f>
        <v>659800</v>
      </c>
      <c r="P4" s="126">
        <f t="shared" ref="P4:P51" si="0">Q4-O4</f>
        <v>186100</v>
      </c>
      <c r="Q4" s="125">
        <v>845900</v>
      </c>
    </row>
    <row r="5" spans="1:17" ht="22.5" customHeight="1">
      <c r="A5" s="123">
        <v>202304</v>
      </c>
      <c r="B5" s="124">
        <v>45034</v>
      </c>
      <c r="C5" s="123" t="s">
        <v>13</v>
      </c>
      <c r="D5" s="123">
        <v>81188665340</v>
      </c>
      <c r="E5" s="123">
        <v>1620</v>
      </c>
      <c r="F5" s="157">
        <f t="shared" ref="F5:F51" si="1">G5/E5</f>
        <v>44579.077160493827</v>
      </c>
      <c r="G5" s="125">
        <v>72218105</v>
      </c>
      <c r="H5" s="125">
        <v>72218000</v>
      </c>
      <c r="I5" s="125">
        <v>7221700</v>
      </c>
      <c r="J5" s="125">
        <v>0</v>
      </c>
      <c r="K5" s="126">
        <f t="shared" ref="K5:K51" si="2">ROUNDDOWN(H5*7.8/100,-2)</f>
        <v>5633000</v>
      </c>
      <c r="L5" s="126">
        <f t="shared" ref="L5:L51" si="3">I5-K5</f>
        <v>1588700</v>
      </c>
      <c r="M5" s="123">
        <v>570</v>
      </c>
      <c r="N5" s="126">
        <f t="shared" ref="N5:N51" si="4">ROUND(H5/E5*M5,-2)</f>
        <v>25410000</v>
      </c>
      <c r="O5" s="126">
        <f t="shared" ref="O5:O51" si="5">ROUNDDOWN(N5*7.8/100,-2)</f>
        <v>1981900</v>
      </c>
      <c r="P5" s="126">
        <f t="shared" si="0"/>
        <v>559100</v>
      </c>
      <c r="Q5" s="125">
        <v>2541000</v>
      </c>
    </row>
    <row r="6" spans="1:17" ht="22.5" customHeight="1">
      <c r="A6" s="123">
        <v>202304</v>
      </c>
      <c r="B6" s="124">
        <v>45036</v>
      </c>
      <c r="C6" s="123" t="s">
        <v>48</v>
      </c>
      <c r="D6" s="123">
        <v>81188736850</v>
      </c>
      <c r="E6" s="123">
        <v>577.5</v>
      </c>
      <c r="F6" s="157">
        <f t="shared" si="1"/>
        <v>43010.252813852814</v>
      </c>
      <c r="G6" s="125">
        <v>24838421</v>
      </c>
      <c r="H6" s="125">
        <v>24838000</v>
      </c>
      <c r="I6" s="125">
        <v>2483700</v>
      </c>
      <c r="J6" s="125">
        <v>0</v>
      </c>
      <c r="K6" s="126">
        <f t="shared" si="2"/>
        <v>1937300</v>
      </c>
      <c r="L6" s="126">
        <f t="shared" si="3"/>
        <v>546400</v>
      </c>
      <c r="M6" s="123">
        <v>0</v>
      </c>
      <c r="N6" s="126">
        <f t="shared" si="4"/>
        <v>0</v>
      </c>
      <c r="O6" s="126">
        <f t="shared" si="5"/>
        <v>0</v>
      </c>
      <c r="P6" s="126">
        <f t="shared" si="0"/>
        <v>0</v>
      </c>
      <c r="Q6" s="125">
        <v>0</v>
      </c>
    </row>
    <row r="7" spans="1:17" ht="22.5" customHeight="1">
      <c r="A7" s="123">
        <v>202304</v>
      </c>
      <c r="B7" s="124">
        <v>45043</v>
      </c>
      <c r="C7" s="123" t="s">
        <v>13</v>
      </c>
      <c r="D7" s="123">
        <v>81188879650</v>
      </c>
      <c r="E7" s="123">
        <v>150</v>
      </c>
      <c r="F7" s="157">
        <f t="shared" si="1"/>
        <v>48262.933333333334</v>
      </c>
      <c r="G7" s="125">
        <v>7239440</v>
      </c>
      <c r="H7" s="125">
        <v>7239000</v>
      </c>
      <c r="I7" s="125">
        <v>723800</v>
      </c>
      <c r="J7" s="125">
        <v>0</v>
      </c>
      <c r="K7" s="126">
        <f t="shared" si="2"/>
        <v>564600</v>
      </c>
      <c r="L7" s="126">
        <f t="shared" si="3"/>
        <v>159200</v>
      </c>
      <c r="M7" s="123">
        <v>150</v>
      </c>
      <c r="N7" s="126">
        <f t="shared" si="4"/>
        <v>7239000</v>
      </c>
      <c r="O7" s="126">
        <f>ROUNDDOWN(N7*7.8/100,-2)</f>
        <v>564600</v>
      </c>
      <c r="P7" s="126">
        <f t="shared" si="0"/>
        <v>159200</v>
      </c>
      <c r="Q7" s="125">
        <v>723800</v>
      </c>
    </row>
    <row r="8" spans="1:17" ht="22.5" customHeight="1">
      <c r="A8" s="123">
        <v>202305</v>
      </c>
      <c r="B8" s="124">
        <v>45064</v>
      </c>
      <c r="C8" s="123" t="s">
        <v>13</v>
      </c>
      <c r="D8" s="123">
        <v>81189244130</v>
      </c>
      <c r="E8" s="123">
        <v>1780</v>
      </c>
      <c r="F8" s="157">
        <f t="shared" si="1"/>
        <v>47661.072471910113</v>
      </c>
      <c r="G8" s="125">
        <v>84836709</v>
      </c>
      <c r="H8" s="125">
        <v>84836000</v>
      </c>
      <c r="I8" s="125">
        <v>8483500</v>
      </c>
      <c r="J8" s="125">
        <v>0</v>
      </c>
      <c r="K8" s="126">
        <f t="shared" si="2"/>
        <v>6617200</v>
      </c>
      <c r="L8" s="126">
        <f t="shared" si="3"/>
        <v>1866300</v>
      </c>
      <c r="M8" s="123">
        <v>880</v>
      </c>
      <c r="N8" s="126">
        <f t="shared" si="4"/>
        <v>41941400</v>
      </c>
      <c r="O8" s="126">
        <f t="shared" si="5"/>
        <v>3271400</v>
      </c>
      <c r="P8" s="126">
        <f t="shared" si="0"/>
        <v>922700</v>
      </c>
      <c r="Q8" s="125">
        <v>4194100</v>
      </c>
    </row>
    <row r="9" spans="1:17" ht="22.5" customHeight="1">
      <c r="A9" s="123">
        <v>202305</v>
      </c>
      <c r="B9" s="124">
        <v>45072</v>
      </c>
      <c r="C9" s="123" t="s">
        <v>48</v>
      </c>
      <c r="D9" s="123">
        <v>81189425100</v>
      </c>
      <c r="E9" s="123">
        <v>50</v>
      </c>
      <c r="F9" s="157">
        <f t="shared" si="1"/>
        <v>42484.06</v>
      </c>
      <c r="G9" s="125">
        <v>2124203</v>
      </c>
      <c r="H9" s="125">
        <v>2124000</v>
      </c>
      <c r="I9" s="125">
        <v>212300</v>
      </c>
      <c r="J9" s="125">
        <v>0</v>
      </c>
      <c r="K9" s="126">
        <f t="shared" si="2"/>
        <v>165600</v>
      </c>
      <c r="L9" s="126">
        <f t="shared" si="3"/>
        <v>46700</v>
      </c>
      <c r="M9" s="123">
        <v>50</v>
      </c>
      <c r="N9" s="126">
        <f t="shared" si="4"/>
        <v>2124000</v>
      </c>
      <c r="O9" s="126">
        <f t="shared" si="5"/>
        <v>165600</v>
      </c>
      <c r="P9" s="126">
        <f t="shared" si="0"/>
        <v>46700</v>
      </c>
      <c r="Q9" s="125">
        <v>212300</v>
      </c>
    </row>
    <row r="10" spans="1:17" ht="22.5" customHeight="1">
      <c r="A10" s="123">
        <v>202306</v>
      </c>
      <c r="B10" s="124">
        <v>45079</v>
      </c>
      <c r="C10" s="123" t="s">
        <v>13</v>
      </c>
      <c r="D10" s="123">
        <v>81189536140</v>
      </c>
      <c r="E10" s="123">
        <v>400</v>
      </c>
      <c r="F10" s="157">
        <f t="shared" si="1"/>
        <v>48023.827499999999</v>
      </c>
      <c r="G10" s="125">
        <v>19209531</v>
      </c>
      <c r="H10" s="125">
        <v>19209000</v>
      </c>
      <c r="I10" s="125">
        <v>1920800</v>
      </c>
      <c r="J10" s="125">
        <v>0</v>
      </c>
      <c r="K10" s="126">
        <f t="shared" si="2"/>
        <v>1498300</v>
      </c>
      <c r="L10" s="126">
        <f t="shared" si="3"/>
        <v>422500</v>
      </c>
      <c r="M10" s="123">
        <v>0</v>
      </c>
      <c r="N10" s="126">
        <f t="shared" si="4"/>
        <v>0</v>
      </c>
      <c r="O10" s="126">
        <f t="shared" si="5"/>
        <v>0</v>
      </c>
      <c r="P10" s="126">
        <f t="shared" si="0"/>
        <v>0</v>
      </c>
      <c r="Q10" s="125">
        <v>0</v>
      </c>
    </row>
    <row r="11" spans="1:17" ht="22.5" customHeight="1">
      <c r="A11" s="123">
        <v>202306</v>
      </c>
      <c r="B11" s="124">
        <v>45083</v>
      </c>
      <c r="C11" s="123" t="s">
        <v>48</v>
      </c>
      <c r="D11" s="123">
        <v>81189600430</v>
      </c>
      <c r="E11" s="123">
        <v>420</v>
      </c>
      <c r="F11" s="157">
        <f t="shared" si="1"/>
        <v>42412.388095238093</v>
      </c>
      <c r="G11" s="125">
        <v>17813203</v>
      </c>
      <c r="H11" s="125">
        <v>17813000</v>
      </c>
      <c r="I11" s="125">
        <v>1781200</v>
      </c>
      <c r="J11" s="125">
        <v>0</v>
      </c>
      <c r="K11" s="126">
        <f t="shared" si="2"/>
        <v>1389400</v>
      </c>
      <c r="L11" s="126">
        <f t="shared" si="3"/>
        <v>391800</v>
      </c>
      <c r="M11" s="123">
        <v>420</v>
      </c>
      <c r="N11" s="126">
        <f t="shared" si="4"/>
        <v>17813000</v>
      </c>
      <c r="O11" s="126">
        <f t="shared" si="5"/>
        <v>1389400</v>
      </c>
      <c r="P11" s="126">
        <f t="shared" si="0"/>
        <v>391800</v>
      </c>
      <c r="Q11" s="125">
        <v>1781200</v>
      </c>
    </row>
    <row r="12" spans="1:17" ht="22.5" customHeight="1">
      <c r="A12" s="123">
        <v>202306</v>
      </c>
      <c r="B12" s="124">
        <v>45084</v>
      </c>
      <c r="C12" s="123" t="s">
        <v>13</v>
      </c>
      <c r="D12" s="123">
        <v>81189624450</v>
      </c>
      <c r="E12" s="123">
        <v>1500</v>
      </c>
      <c r="F12" s="157">
        <f t="shared" si="1"/>
        <v>48708.205999999998</v>
      </c>
      <c r="G12" s="125">
        <v>73062309</v>
      </c>
      <c r="H12" s="125">
        <v>73062000</v>
      </c>
      <c r="I12" s="125">
        <v>7306100</v>
      </c>
      <c r="J12" s="125">
        <v>0</v>
      </c>
      <c r="K12" s="126">
        <f t="shared" si="2"/>
        <v>5698800</v>
      </c>
      <c r="L12" s="126">
        <f t="shared" si="3"/>
        <v>1607300</v>
      </c>
      <c r="M12" s="123">
        <v>1000</v>
      </c>
      <c r="N12" s="126">
        <f t="shared" si="4"/>
        <v>48708000</v>
      </c>
      <c r="O12" s="126">
        <f t="shared" si="5"/>
        <v>3799200</v>
      </c>
      <c r="P12" s="126">
        <f t="shared" si="0"/>
        <v>1071500</v>
      </c>
      <c r="Q12" s="125">
        <v>4870700</v>
      </c>
    </row>
    <row r="13" spans="1:17" ht="22.5" customHeight="1">
      <c r="A13" s="123">
        <v>202306</v>
      </c>
      <c r="B13" s="124">
        <v>45084</v>
      </c>
      <c r="C13" s="123" t="s">
        <v>48</v>
      </c>
      <c r="D13" s="123">
        <v>81189635320</v>
      </c>
      <c r="E13" s="123">
        <v>600</v>
      </c>
      <c r="F13" s="157">
        <f t="shared" si="1"/>
        <v>43732.806666666664</v>
      </c>
      <c r="G13" s="125">
        <v>26239684</v>
      </c>
      <c r="H13" s="125">
        <v>26239000</v>
      </c>
      <c r="I13" s="125">
        <v>2623800</v>
      </c>
      <c r="J13" s="125">
        <v>0</v>
      </c>
      <c r="K13" s="126">
        <f t="shared" si="2"/>
        <v>2046600</v>
      </c>
      <c r="L13" s="126">
        <f t="shared" si="3"/>
        <v>577200</v>
      </c>
      <c r="M13" s="123">
        <v>0</v>
      </c>
      <c r="N13" s="126">
        <f t="shared" si="4"/>
        <v>0</v>
      </c>
      <c r="O13" s="126">
        <f t="shared" si="5"/>
        <v>0</v>
      </c>
      <c r="P13" s="126">
        <f t="shared" si="0"/>
        <v>0</v>
      </c>
      <c r="Q13" s="125">
        <v>0</v>
      </c>
    </row>
    <row r="14" spans="1:17" ht="22.5" customHeight="1">
      <c r="A14" s="123">
        <v>202306</v>
      </c>
      <c r="B14" s="124">
        <v>45084</v>
      </c>
      <c r="C14" s="123" t="s">
        <v>48</v>
      </c>
      <c r="D14" s="123">
        <v>81189633700</v>
      </c>
      <c r="E14" s="123">
        <v>1150.43</v>
      </c>
      <c r="F14" s="157">
        <f t="shared" si="1"/>
        <v>42565.306885251601</v>
      </c>
      <c r="G14" s="125">
        <v>48968406</v>
      </c>
      <c r="H14" s="125">
        <v>48968000</v>
      </c>
      <c r="I14" s="125">
        <v>4896700</v>
      </c>
      <c r="J14" s="125">
        <v>0</v>
      </c>
      <c r="K14" s="126">
        <f t="shared" si="2"/>
        <v>3819500</v>
      </c>
      <c r="L14" s="126">
        <f t="shared" si="3"/>
        <v>1077200</v>
      </c>
      <c r="M14" s="123">
        <v>0</v>
      </c>
      <c r="N14" s="126">
        <f t="shared" si="4"/>
        <v>0</v>
      </c>
      <c r="O14" s="126">
        <f t="shared" si="5"/>
        <v>0</v>
      </c>
      <c r="P14" s="126">
        <f t="shared" si="0"/>
        <v>0</v>
      </c>
      <c r="Q14" s="125">
        <v>0</v>
      </c>
    </row>
    <row r="15" spans="1:17" ht="22.5" customHeight="1">
      <c r="A15" s="123">
        <v>202306</v>
      </c>
      <c r="B15" s="124">
        <v>45084</v>
      </c>
      <c r="C15" s="123" t="s">
        <v>48</v>
      </c>
      <c r="D15" s="123">
        <v>81189633810</v>
      </c>
      <c r="E15" s="123">
        <v>450</v>
      </c>
      <c r="F15" s="157">
        <f t="shared" si="1"/>
        <v>42412.388888888891</v>
      </c>
      <c r="G15" s="125">
        <v>19085575</v>
      </c>
      <c r="H15" s="125">
        <v>19085000</v>
      </c>
      <c r="I15" s="125">
        <v>1908400</v>
      </c>
      <c r="J15" s="125">
        <v>0</v>
      </c>
      <c r="K15" s="126">
        <f t="shared" si="2"/>
        <v>1488600</v>
      </c>
      <c r="L15" s="126">
        <f t="shared" si="3"/>
        <v>419800</v>
      </c>
      <c r="M15" s="123">
        <v>0</v>
      </c>
      <c r="N15" s="126">
        <f t="shared" si="4"/>
        <v>0</v>
      </c>
      <c r="O15" s="126">
        <f t="shared" si="5"/>
        <v>0</v>
      </c>
      <c r="P15" s="126">
        <f t="shared" si="0"/>
        <v>0</v>
      </c>
      <c r="Q15" s="125">
        <v>0</v>
      </c>
    </row>
    <row r="16" spans="1:17" ht="22.5" customHeight="1">
      <c r="A16" s="123">
        <v>202307</v>
      </c>
      <c r="B16" s="124">
        <v>45113</v>
      </c>
      <c r="C16" s="123" t="s">
        <v>47</v>
      </c>
      <c r="D16" s="123">
        <v>81190152030</v>
      </c>
      <c r="E16" s="123">
        <v>2175</v>
      </c>
      <c r="F16" s="157">
        <f t="shared" si="1"/>
        <v>49332.565977011494</v>
      </c>
      <c r="G16" s="125">
        <v>107298331</v>
      </c>
      <c r="H16" s="125">
        <v>107298000</v>
      </c>
      <c r="I16" s="125">
        <v>10729700</v>
      </c>
      <c r="J16" s="125">
        <v>0</v>
      </c>
      <c r="K16" s="126">
        <f t="shared" si="2"/>
        <v>8369200</v>
      </c>
      <c r="L16" s="126">
        <f t="shared" si="3"/>
        <v>2360500</v>
      </c>
      <c r="M16" s="123">
        <v>575</v>
      </c>
      <c r="N16" s="126">
        <f t="shared" si="4"/>
        <v>28366100</v>
      </c>
      <c r="O16" s="126">
        <f t="shared" si="5"/>
        <v>2212500</v>
      </c>
      <c r="P16" s="126">
        <f t="shared" si="0"/>
        <v>624100</v>
      </c>
      <c r="Q16" s="125">
        <v>2836600</v>
      </c>
    </row>
    <row r="17" spans="1:17" ht="22.5" customHeight="1">
      <c r="A17" s="123">
        <v>202307</v>
      </c>
      <c r="B17" s="124">
        <v>45118</v>
      </c>
      <c r="C17" s="123" t="s">
        <v>13</v>
      </c>
      <c r="D17" s="123">
        <v>81190237540</v>
      </c>
      <c r="E17" s="123">
        <v>700</v>
      </c>
      <c r="F17" s="157">
        <f t="shared" si="1"/>
        <v>50783.097142857143</v>
      </c>
      <c r="G17" s="125">
        <v>35548168</v>
      </c>
      <c r="H17" s="125">
        <v>35548000</v>
      </c>
      <c r="I17" s="125">
        <v>3554700</v>
      </c>
      <c r="J17" s="125">
        <v>0</v>
      </c>
      <c r="K17" s="126">
        <f t="shared" si="2"/>
        <v>2772700</v>
      </c>
      <c r="L17" s="126">
        <f t="shared" si="3"/>
        <v>782000</v>
      </c>
      <c r="M17" s="123">
        <v>300</v>
      </c>
      <c r="N17" s="126">
        <f t="shared" si="4"/>
        <v>15234900</v>
      </c>
      <c r="O17" s="126">
        <f t="shared" si="5"/>
        <v>1188300</v>
      </c>
      <c r="P17" s="126">
        <f t="shared" si="0"/>
        <v>335100</v>
      </c>
      <c r="Q17" s="125">
        <v>1523400</v>
      </c>
    </row>
    <row r="18" spans="1:17" ht="22.5" customHeight="1">
      <c r="A18" s="123">
        <v>202307</v>
      </c>
      <c r="B18" s="124">
        <v>45138</v>
      </c>
      <c r="C18" s="123" t="s">
        <v>48</v>
      </c>
      <c r="D18" s="123">
        <v>81190564000</v>
      </c>
      <c r="E18" s="123">
        <v>367.5</v>
      </c>
      <c r="F18" s="157">
        <f t="shared" si="1"/>
        <v>43304.035374149658</v>
      </c>
      <c r="G18" s="125">
        <v>15914233</v>
      </c>
      <c r="H18" s="125">
        <v>15914000</v>
      </c>
      <c r="I18" s="125">
        <v>1591200</v>
      </c>
      <c r="J18" s="125">
        <v>0</v>
      </c>
      <c r="K18" s="126">
        <f t="shared" si="2"/>
        <v>1241200</v>
      </c>
      <c r="L18" s="126">
        <f t="shared" si="3"/>
        <v>350000</v>
      </c>
      <c r="M18" s="123">
        <v>367.5</v>
      </c>
      <c r="N18" s="126">
        <f t="shared" si="4"/>
        <v>15914000</v>
      </c>
      <c r="O18" s="126">
        <f t="shared" si="5"/>
        <v>1241200</v>
      </c>
      <c r="P18" s="126">
        <f t="shared" si="0"/>
        <v>350000</v>
      </c>
      <c r="Q18" s="125">
        <v>1591200</v>
      </c>
    </row>
    <row r="19" spans="1:17" ht="22.5" customHeight="1">
      <c r="A19" s="123">
        <v>202308</v>
      </c>
      <c r="B19" s="124">
        <v>45140</v>
      </c>
      <c r="C19" s="123" t="s">
        <v>48</v>
      </c>
      <c r="D19" s="123">
        <v>81190577150</v>
      </c>
      <c r="E19" s="123">
        <v>450</v>
      </c>
      <c r="F19" s="157">
        <f t="shared" si="1"/>
        <v>42576.682222222225</v>
      </c>
      <c r="G19" s="125">
        <v>19159507</v>
      </c>
      <c r="H19" s="125">
        <v>19159000</v>
      </c>
      <c r="I19" s="125">
        <v>1915800</v>
      </c>
      <c r="J19" s="125">
        <v>0</v>
      </c>
      <c r="K19" s="126">
        <f t="shared" si="2"/>
        <v>1494400</v>
      </c>
      <c r="L19" s="126">
        <f t="shared" si="3"/>
        <v>421400</v>
      </c>
      <c r="M19" s="123">
        <v>0</v>
      </c>
      <c r="N19" s="126">
        <f t="shared" si="4"/>
        <v>0</v>
      </c>
      <c r="O19" s="126">
        <f t="shared" si="5"/>
        <v>0</v>
      </c>
      <c r="P19" s="126">
        <f t="shared" si="0"/>
        <v>0</v>
      </c>
      <c r="Q19" s="125">
        <v>0</v>
      </c>
    </row>
    <row r="20" spans="1:17" ht="22.5" customHeight="1">
      <c r="A20" s="123">
        <v>202308</v>
      </c>
      <c r="B20" s="124">
        <v>45141</v>
      </c>
      <c r="C20" s="123" t="s">
        <v>48</v>
      </c>
      <c r="D20" s="123">
        <v>81190625450</v>
      </c>
      <c r="E20" s="123">
        <v>844.57</v>
      </c>
      <c r="F20" s="157">
        <f t="shared" si="1"/>
        <v>42148.7289389867</v>
      </c>
      <c r="G20" s="125">
        <v>35597552</v>
      </c>
      <c r="H20" s="125">
        <v>35597000</v>
      </c>
      <c r="I20" s="125">
        <v>3559600</v>
      </c>
      <c r="J20" s="125">
        <v>0</v>
      </c>
      <c r="K20" s="126">
        <f t="shared" si="2"/>
        <v>2776500</v>
      </c>
      <c r="L20" s="126">
        <f t="shared" si="3"/>
        <v>783100</v>
      </c>
      <c r="M20" s="123">
        <v>0</v>
      </c>
      <c r="N20" s="126">
        <f t="shared" si="4"/>
        <v>0</v>
      </c>
      <c r="O20" s="126">
        <f t="shared" si="5"/>
        <v>0</v>
      </c>
      <c r="P20" s="126">
        <f t="shared" si="0"/>
        <v>0</v>
      </c>
      <c r="Q20" s="125">
        <v>0</v>
      </c>
    </row>
    <row r="21" spans="1:17" ht="22.5" customHeight="1">
      <c r="A21" s="123">
        <v>202308</v>
      </c>
      <c r="B21" s="124">
        <v>45148</v>
      </c>
      <c r="C21" s="123" t="s">
        <v>13</v>
      </c>
      <c r="D21" s="123">
        <v>81190763130</v>
      </c>
      <c r="E21" s="123">
        <v>600</v>
      </c>
      <c r="F21" s="157">
        <f t="shared" si="1"/>
        <v>43731.28833333333</v>
      </c>
      <c r="G21" s="125">
        <v>26238773</v>
      </c>
      <c r="H21" s="125">
        <v>26238000</v>
      </c>
      <c r="I21" s="125">
        <v>2623700</v>
      </c>
      <c r="J21" s="125">
        <v>0</v>
      </c>
      <c r="K21" s="126">
        <f t="shared" si="2"/>
        <v>2046500</v>
      </c>
      <c r="L21" s="126">
        <f t="shared" si="3"/>
        <v>577200</v>
      </c>
      <c r="M21" s="123">
        <v>0</v>
      </c>
      <c r="N21" s="126">
        <f t="shared" si="4"/>
        <v>0</v>
      </c>
      <c r="O21" s="126">
        <f t="shared" si="5"/>
        <v>0</v>
      </c>
      <c r="P21" s="126">
        <f t="shared" si="0"/>
        <v>0</v>
      </c>
      <c r="Q21" s="125">
        <v>0</v>
      </c>
    </row>
    <row r="22" spans="1:17" ht="22.5" customHeight="1">
      <c r="A22" s="123">
        <v>202308</v>
      </c>
      <c r="B22" s="124">
        <v>45156</v>
      </c>
      <c r="C22" s="123" t="s">
        <v>13</v>
      </c>
      <c r="D22" s="123">
        <v>81190824510</v>
      </c>
      <c r="E22" s="123">
        <v>1300</v>
      </c>
      <c r="F22" s="157">
        <f t="shared" si="1"/>
        <v>44311.005384615382</v>
      </c>
      <c r="G22" s="125">
        <v>57604307</v>
      </c>
      <c r="H22" s="125">
        <v>57604000</v>
      </c>
      <c r="I22" s="125">
        <v>5760300</v>
      </c>
      <c r="J22" s="125">
        <v>0</v>
      </c>
      <c r="K22" s="126">
        <f t="shared" si="2"/>
        <v>4493100</v>
      </c>
      <c r="L22" s="126">
        <f t="shared" si="3"/>
        <v>1267200</v>
      </c>
      <c r="M22" s="123">
        <v>800</v>
      </c>
      <c r="N22" s="126">
        <f t="shared" si="4"/>
        <v>35448600</v>
      </c>
      <c r="O22" s="126">
        <f t="shared" si="5"/>
        <v>2764900</v>
      </c>
      <c r="P22" s="126">
        <f t="shared" si="0"/>
        <v>779900</v>
      </c>
      <c r="Q22" s="125">
        <v>3544800</v>
      </c>
    </row>
    <row r="23" spans="1:17" ht="22.5" customHeight="1">
      <c r="A23" s="123">
        <v>202309</v>
      </c>
      <c r="B23" s="124">
        <v>45175</v>
      </c>
      <c r="C23" s="123" t="s">
        <v>13</v>
      </c>
      <c r="D23" s="123">
        <v>81191159220</v>
      </c>
      <c r="E23" s="123">
        <v>900</v>
      </c>
      <c r="F23" s="157">
        <f t="shared" si="1"/>
        <v>47316.977777777778</v>
      </c>
      <c r="G23" s="125">
        <v>42585280</v>
      </c>
      <c r="H23" s="125">
        <v>42585000</v>
      </c>
      <c r="I23" s="125">
        <v>4258400</v>
      </c>
      <c r="J23" s="125">
        <v>0</v>
      </c>
      <c r="K23" s="126">
        <f t="shared" si="2"/>
        <v>3321600</v>
      </c>
      <c r="L23" s="126">
        <f t="shared" si="3"/>
        <v>936800</v>
      </c>
      <c r="M23" s="123">
        <v>0</v>
      </c>
      <c r="N23" s="126">
        <f t="shared" si="4"/>
        <v>0</v>
      </c>
      <c r="O23" s="126">
        <f t="shared" si="5"/>
        <v>0</v>
      </c>
      <c r="P23" s="126">
        <f t="shared" si="0"/>
        <v>0</v>
      </c>
      <c r="Q23" s="125">
        <v>0</v>
      </c>
    </row>
    <row r="24" spans="1:17" ht="22.5" customHeight="1">
      <c r="A24" s="123">
        <v>202309</v>
      </c>
      <c r="B24" s="124">
        <v>45180</v>
      </c>
      <c r="C24" s="123" t="s">
        <v>13</v>
      </c>
      <c r="D24" s="123">
        <v>81191244510</v>
      </c>
      <c r="E24" s="123">
        <v>2750</v>
      </c>
      <c r="F24" s="157">
        <f t="shared" si="1"/>
        <v>45759.913090909089</v>
      </c>
      <c r="G24" s="125">
        <v>125839761</v>
      </c>
      <c r="H24" s="125">
        <v>125839000</v>
      </c>
      <c r="I24" s="125">
        <v>12583800</v>
      </c>
      <c r="J24" s="125">
        <v>0</v>
      </c>
      <c r="K24" s="126">
        <f t="shared" si="2"/>
        <v>9815400</v>
      </c>
      <c r="L24" s="126">
        <f t="shared" si="3"/>
        <v>2768400</v>
      </c>
      <c r="M24" s="123">
        <v>750</v>
      </c>
      <c r="N24" s="126">
        <f t="shared" si="4"/>
        <v>34319700</v>
      </c>
      <c r="O24" s="126">
        <f t="shared" si="5"/>
        <v>2676900</v>
      </c>
      <c r="P24" s="126">
        <f t="shared" si="0"/>
        <v>755000</v>
      </c>
      <c r="Q24" s="125">
        <v>3431900</v>
      </c>
    </row>
    <row r="25" spans="1:17" ht="22.5" customHeight="1">
      <c r="A25" s="123">
        <v>202310</v>
      </c>
      <c r="B25" s="124">
        <v>45215</v>
      </c>
      <c r="C25" s="123" t="s">
        <v>48</v>
      </c>
      <c r="D25" s="123">
        <v>81191887440</v>
      </c>
      <c r="E25" s="123">
        <v>672</v>
      </c>
      <c r="F25" s="157">
        <f t="shared" si="1"/>
        <v>51892.595238095237</v>
      </c>
      <c r="G25" s="125">
        <v>34871824</v>
      </c>
      <c r="H25" s="125">
        <v>34871000</v>
      </c>
      <c r="I25" s="125">
        <v>3487000</v>
      </c>
      <c r="J25" s="125">
        <v>0</v>
      </c>
      <c r="K25" s="126">
        <f t="shared" si="2"/>
        <v>2719900</v>
      </c>
      <c r="L25" s="126">
        <f t="shared" si="3"/>
        <v>767100</v>
      </c>
      <c r="M25" s="123">
        <v>0</v>
      </c>
      <c r="N25" s="126">
        <f t="shared" si="4"/>
        <v>0</v>
      </c>
      <c r="O25" s="126">
        <f t="shared" si="5"/>
        <v>0</v>
      </c>
      <c r="P25" s="126">
        <f t="shared" si="0"/>
        <v>0</v>
      </c>
      <c r="Q25" s="125">
        <v>0</v>
      </c>
    </row>
    <row r="26" spans="1:17" ht="22.5" customHeight="1">
      <c r="A26" s="123">
        <v>202310</v>
      </c>
      <c r="B26" s="124">
        <v>45215</v>
      </c>
      <c r="C26" s="123" t="s">
        <v>48</v>
      </c>
      <c r="D26" s="123">
        <v>81191918020</v>
      </c>
      <c r="E26" s="123">
        <v>840</v>
      </c>
      <c r="F26" s="157">
        <f t="shared" si="1"/>
        <v>41639.586904761905</v>
      </c>
      <c r="G26" s="125">
        <v>34977253</v>
      </c>
      <c r="H26" s="125">
        <v>34977000</v>
      </c>
      <c r="I26" s="125">
        <v>3497600</v>
      </c>
      <c r="J26" s="125">
        <v>0</v>
      </c>
      <c r="K26" s="126">
        <f t="shared" si="2"/>
        <v>2728200</v>
      </c>
      <c r="L26" s="126">
        <f t="shared" si="3"/>
        <v>769400</v>
      </c>
      <c r="M26" s="123">
        <v>0</v>
      </c>
      <c r="N26" s="126">
        <f t="shared" si="4"/>
        <v>0</v>
      </c>
      <c r="O26" s="126">
        <f t="shared" si="5"/>
        <v>0</v>
      </c>
      <c r="P26" s="126">
        <f t="shared" si="0"/>
        <v>0</v>
      </c>
      <c r="Q26" s="125">
        <v>0</v>
      </c>
    </row>
    <row r="27" spans="1:17" ht="22.5" customHeight="1">
      <c r="A27" s="123">
        <v>202310</v>
      </c>
      <c r="B27" s="124">
        <v>45222</v>
      </c>
      <c r="C27" s="123" t="s">
        <v>13</v>
      </c>
      <c r="D27" s="123">
        <v>81192007030</v>
      </c>
      <c r="E27" s="123">
        <v>2250</v>
      </c>
      <c r="F27" s="157">
        <f t="shared" si="1"/>
        <v>39105.883111111114</v>
      </c>
      <c r="G27" s="125">
        <v>87988237</v>
      </c>
      <c r="H27" s="125">
        <v>87988000</v>
      </c>
      <c r="I27" s="125">
        <v>8798700</v>
      </c>
      <c r="J27" s="125">
        <v>0</v>
      </c>
      <c r="K27" s="126">
        <f t="shared" si="2"/>
        <v>6863000</v>
      </c>
      <c r="L27" s="126">
        <f t="shared" si="3"/>
        <v>1935700</v>
      </c>
      <c r="M27" s="123">
        <v>850</v>
      </c>
      <c r="N27" s="126">
        <f t="shared" si="4"/>
        <v>33239900</v>
      </c>
      <c r="O27" s="126">
        <f t="shared" si="5"/>
        <v>2592700</v>
      </c>
      <c r="P27" s="126">
        <f t="shared" si="0"/>
        <v>731300</v>
      </c>
      <c r="Q27" s="125">
        <v>3324000</v>
      </c>
    </row>
    <row r="28" spans="1:17" ht="22.5" customHeight="1">
      <c r="A28" s="123">
        <v>202310</v>
      </c>
      <c r="B28" s="124">
        <v>45224</v>
      </c>
      <c r="C28" s="123" t="s">
        <v>48</v>
      </c>
      <c r="D28" s="123">
        <v>81192054150</v>
      </c>
      <c r="E28" s="123">
        <v>367.5</v>
      </c>
      <c r="F28" s="157">
        <f t="shared" si="1"/>
        <v>39121.20544217687</v>
      </c>
      <c r="G28" s="125">
        <v>14377043</v>
      </c>
      <c r="H28" s="125">
        <v>14377000</v>
      </c>
      <c r="I28" s="125">
        <v>1437600</v>
      </c>
      <c r="J28" s="125">
        <v>0</v>
      </c>
      <c r="K28" s="126">
        <f t="shared" si="2"/>
        <v>1121400</v>
      </c>
      <c r="L28" s="126">
        <f t="shared" si="3"/>
        <v>316200</v>
      </c>
      <c r="M28" s="123">
        <v>367.5</v>
      </c>
      <c r="N28" s="126">
        <f t="shared" si="4"/>
        <v>14377000</v>
      </c>
      <c r="O28" s="126">
        <f t="shared" si="5"/>
        <v>1121400</v>
      </c>
      <c r="P28" s="126">
        <f t="shared" si="0"/>
        <v>316200</v>
      </c>
      <c r="Q28" s="125">
        <v>1437600</v>
      </c>
    </row>
    <row r="29" spans="1:17" ht="22.5" customHeight="1">
      <c r="A29" s="123">
        <v>202311</v>
      </c>
      <c r="B29" s="124">
        <v>45236</v>
      </c>
      <c r="C29" s="123" t="s">
        <v>48</v>
      </c>
      <c r="D29" s="123">
        <v>81192226130</v>
      </c>
      <c r="E29" s="123">
        <v>320</v>
      </c>
      <c r="F29" s="157">
        <f t="shared" si="1"/>
        <v>39372.15</v>
      </c>
      <c r="G29" s="125">
        <v>12599088</v>
      </c>
      <c r="H29" s="125">
        <v>12599000</v>
      </c>
      <c r="I29" s="125">
        <v>1259800</v>
      </c>
      <c r="J29" s="125">
        <v>0</v>
      </c>
      <c r="K29" s="126">
        <f t="shared" si="2"/>
        <v>982700</v>
      </c>
      <c r="L29" s="126">
        <f t="shared" si="3"/>
        <v>277100</v>
      </c>
      <c r="M29" s="123">
        <v>0</v>
      </c>
      <c r="N29" s="126">
        <f t="shared" si="4"/>
        <v>0</v>
      </c>
      <c r="O29" s="126">
        <f t="shared" si="5"/>
        <v>0</v>
      </c>
      <c r="P29" s="126">
        <f t="shared" si="0"/>
        <v>0</v>
      </c>
      <c r="Q29" s="125">
        <v>0</v>
      </c>
    </row>
    <row r="30" spans="1:17" ht="22.5" customHeight="1">
      <c r="A30" s="123">
        <v>202311</v>
      </c>
      <c r="B30" s="124">
        <v>45257</v>
      </c>
      <c r="C30" s="123" t="s">
        <v>13</v>
      </c>
      <c r="D30" s="123">
        <v>81192601440</v>
      </c>
      <c r="E30" s="123">
        <v>550</v>
      </c>
      <c r="F30" s="157">
        <f t="shared" si="1"/>
        <v>38097.4</v>
      </c>
      <c r="G30" s="125">
        <v>20953570</v>
      </c>
      <c r="H30" s="125">
        <v>20953000</v>
      </c>
      <c r="I30" s="125">
        <v>2095200</v>
      </c>
      <c r="J30" s="125">
        <v>0</v>
      </c>
      <c r="K30" s="126">
        <f t="shared" si="2"/>
        <v>1634300</v>
      </c>
      <c r="L30" s="126">
        <f t="shared" si="3"/>
        <v>460900</v>
      </c>
      <c r="M30" s="123">
        <v>550</v>
      </c>
      <c r="N30" s="126">
        <f t="shared" si="4"/>
        <v>20953000</v>
      </c>
      <c r="O30" s="126">
        <f t="shared" si="5"/>
        <v>1634300</v>
      </c>
      <c r="P30" s="126">
        <f t="shared" si="0"/>
        <v>460900</v>
      </c>
      <c r="Q30" s="125">
        <v>2095200</v>
      </c>
    </row>
    <row r="31" spans="1:17" ht="22.5" customHeight="1">
      <c r="A31" s="123">
        <v>202311</v>
      </c>
      <c r="B31" s="124">
        <v>45260</v>
      </c>
      <c r="C31" s="123" t="s">
        <v>13</v>
      </c>
      <c r="D31" s="123">
        <v>81192649300</v>
      </c>
      <c r="E31" s="123">
        <v>600</v>
      </c>
      <c r="F31" s="157">
        <f t="shared" si="1"/>
        <v>38097.401666666665</v>
      </c>
      <c r="G31" s="125">
        <v>22858441</v>
      </c>
      <c r="H31" s="125">
        <v>22858000</v>
      </c>
      <c r="I31" s="125">
        <v>2285700</v>
      </c>
      <c r="J31" s="125">
        <v>0</v>
      </c>
      <c r="K31" s="126">
        <f t="shared" si="2"/>
        <v>1782900</v>
      </c>
      <c r="L31" s="126">
        <f t="shared" si="3"/>
        <v>502800</v>
      </c>
      <c r="M31" s="123">
        <v>0</v>
      </c>
      <c r="N31" s="126">
        <f t="shared" si="4"/>
        <v>0</v>
      </c>
      <c r="O31" s="126">
        <f t="shared" si="5"/>
        <v>0</v>
      </c>
      <c r="P31" s="126">
        <f t="shared" si="0"/>
        <v>0</v>
      </c>
      <c r="Q31" s="125">
        <v>0</v>
      </c>
    </row>
    <row r="32" spans="1:17" ht="22.5" customHeight="1">
      <c r="A32" s="123">
        <v>202312</v>
      </c>
      <c r="B32" s="124">
        <v>45265</v>
      </c>
      <c r="C32" s="123" t="s">
        <v>48</v>
      </c>
      <c r="D32" s="123">
        <v>81192749840</v>
      </c>
      <c r="E32" s="123">
        <v>283.5</v>
      </c>
      <c r="F32" s="157">
        <f t="shared" si="1"/>
        <v>41143.135802469136</v>
      </c>
      <c r="G32" s="125">
        <v>11664079</v>
      </c>
      <c r="H32" s="125">
        <v>11664000</v>
      </c>
      <c r="I32" s="125">
        <v>1166200</v>
      </c>
      <c r="J32" s="125">
        <v>0</v>
      </c>
      <c r="K32" s="126">
        <f t="shared" si="2"/>
        <v>909700</v>
      </c>
      <c r="L32" s="126">
        <f t="shared" si="3"/>
        <v>256500</v>
      </c>
      <c r="M32" s="123">
        <v>283.5</v>
      </c>
      <c r="N32" s="126">
        <f t="shared" si="4"/>
        <v>11664000</v>
      </c>
      <c r="O32" s="126">
        <f t="shared" si="5"/>
        <v>909700</v>
      </c>
      <c r="P32" s="126">
        <f t="shared" si="0"/>
        <v>256500</v>
      </c>
      <c r="Q32" s="125">
        <v>1166200</v>
      </c>
    </row>
    <row r="33" spans="1:17" ht="22.5" customHeight="1">
      <c r="A33" s="123">
        <v>202312</v>
      </c>
      <c r="B33" s="124">
        <v>45272</v>
      </c>
      <c r="C33" s="123" t="s">
        <v>13</v>
      </c>
      <c r="D33" s="123">
        <v>81192866150</v>
      </c>
      <c r="E33" s="123">
        <v>950</v>
      </c>
      <c r="F33" s="157">
        <f t="shared" si="1"/>
        <v>37257.97789473684</v>
      </c>
      <c r="G33" s="125">
        <v>35395079</v>
      </c>
      <c r="H33" s="125">
        <v>35395000</v>
      </c>
      <c r="I33" s="125">
        <v>3539400</v>
      </c>
      <c r="J33" s="125">
        <v>0</v>
      </c>
      <c r="K33" s="126">
        <f t="shared" si="2"/>
        <v>2760800</v>
      </c>
      <c r="L33" s="126">
        <f t="shared" si="3"/>
        <v>778600</v>
      </c>
      <c r="M33" s="123">
        <v>350</v>
      </c>
      <c r="N33" s="126">
        <f t="shared" si="4"/>
        <v>13040300</v>
      </c>
      <c r="O33" s="126">
        <f t="shared" si="5"/>
        <v>1017100</v>
      </c>
      <c r="P33" s="126">
        <f t="shared" si="0"/>
        <v>286900</v>
      </c>
      <c r="Q33" s="125">
        <v>1304000</v>
      </c>
    </row>
    <row r="34" spans="1:17" ht="22.5" customHeight="1">
      <c r="A34" s="123">
        <v>202312</v>
      </c>
      <c r="B34" s="124">
        <v>45274</v>
      </c>
      <c r="C34" s="123" t="s">
        <v>48</v>
      </c>
      <c r="D34" s="123">
        <v>81192924840</v>
      </c>
      <c r="E34" s="123">
        <v>1218</v>
      </c>
      <c r="F34" s="157">
        <f t="shared" si="1"/>
        <v>40538.223316912969</v>
      </c>
      <c r="G34" s="125">
        <v>49375556</v>
      </c>
      <c r="H34" s="125">
        <v>49375000</v>
      </c>
      <c r="I34" s="125">
        <v>4937400</v>
      </c>
      <c r="J34" s="125">
        <v>0</v>
      </c>
      <c r="K34" s="126">
        <f t="shared" si="2"/>
        <v>3851200</v>
      </c>
      <c r="L34" s="126">
        <f t="shared" si="3"/>
        <v>1086200</v>
      </c>
      <c r="M34" s="123">
        <v>0</v>
      </c>
      <c r="N34" s="126">
        <f t="shared" si="4"/>
        <v>0</v>
      </c>
      <c r="O34" s="126">
        <f t="shared" si="5"/>
        <v>0</v>
      </c>
      <c r="P34" s="126">
        <f t="shared" si="0"/>
        <v>0</v>
      </c>
      <c r="Q34" s="125">
        <v>0</v>
      </c>
    </row>
    <row r="35" spans="1:17" ht="22.5" customHeight="1">
      <c r="A35" s="123">
        <v>202312</v>
      </c>
      <c r="B35" s="124">
        <v>45279</v>
      </c>
      <c r="C35" s="123" t="s">
        <v>48</v>
      </c>
      <c r="D35" s="123">
        <v>81192999040</v>
      </c>
      <c r="E35" s="123">
        <v>500</v>
      </c>
      <c r="F35" s="157">
        <f t="shared" si="1"/>
        <v>40443.364000000001</v>
      </c>
      <c r="G35" s="125">
        <v>20221682</v>
      </c>
      <c r="H35" s="125">
        <v>20221000</v>
      </c>
      <c r="I35" s="125">
        <v>2022000</v>
      </c>
      <c r="J35" s="125">
        <v>0</v>
      </c>
      <c r="K35" s="126">
        <f t="shared" si="2"/>
        <v>1577200</v>
      </c>
      <c r="L35" s="126">
        <f t="shared" si="3"/>
        <v>444800</v>
      </c>
      <c r="M35" s="123">
        <v>0</v>
      </c>
      <c r="N35" s="126">
        <f t="shared" si="4"/>
        <v>0</v>
      </c>
      <c r="O35" s="126">
        <f t="shared" si="5"/>
        <v>0</v>
      </c>
      <c r="P35" s="126">
        <f t="shared" si="0"/>
        <v>0</v>
      </c>
      <c r="Q35" s="125">
        <v>0</v>
      </c>
    </row>
    <row r="36" spans="1:17" ht="22.5" customHeight="1">
      <c r="A36" s="123">
        <v>202312</v>
      </c>
      <c r="B36" s="124">
        <v>45282</v>
      </c>
      <c r="C36" s="123" t="s">
        <v>13</v>
      </c>
      <c r="D36" s="123">
        <v>81193055150</v>
      </c>
      <c r="E36" s="123">
        <v>2000</v>
      </c>
      <c r="F36" s="157">
        <f t="shared" si="1"/>
        <v>47555.505499999999</v>
      </c>
      <c r="G36" s="125">
        <v>95111011</v>
      </c>
      <c r="H36" s="125">
        <v>95111000</v>
      </c>
      <c r="I36" s="125">
        <v>9511000</v>
      </c>
      <c r="J36" s="125">
        <v>0</v>
      </c>
      <c r="K36" s="126">
        <f t="shared" si="2"/>
        <v>7418600</v>
      </c>
      <c r="L36" s="126">
        <f t="shared" si="3"/>
        <v>2092400</v>
      </c>
      <c r="M36" s="123">
        <v>800</v>
      </c>
      <c r="N36" s="126">
        <f t="shared" si="4"/>
        <v>38044400</v>
      </c>
      <c r="O36" s="126">
        <f t="shared" si="5"/>
        <v>2967400</v>
      </c>
      <c r="P36" s="126">
        <f t="shared" si="0"/>
        <v>837000</v>
      </c>
      <c r="Q36" s="125">
        <v>3804400</v>
      </c>
    </row>
    <row r="37" spans="1:17" ht="22.5" customHeight="1">
      <c r="A37" s="123">
        <v>202312</v>
      </c>
      <c r="B37" s="124">
        <v>45287</v>
      </c>
      <c r="C37" s="123" t="s">
        <v>48</v>
      </c>
      <c r="D37" s="123">
        <v>81193121430</v>
      </c>
      <c r="E37" s="123">
        <v>320</v>
      </c>
      <c r="F37" s="157">
        <f t="shared" si="1"/>
        <v>37892.625</v>
      </c>
      <c r="G37" s="125">
        <v>12125640</v>
      </c>
      <c r="H37" s="125">
        <v>12125000</v>
      </c>
      <c r="I37" s="125">
        <v>1212400</v>
      </c>
      <c r="J37" s="125">
        <v>0</v>
      </c>
      <c r="K37" s="126">
        <f t="shared" si="2"/>
        <v>945700</v>
      </c>
      <c r="L37" s="126">
        <f t="shared" si="3"/>
        <v>266700</v>
      </c>
      <c r="M37" s="123">
        <v>0</v>
      </c>
      <c r="N37" s="126">
        <f t="shared" si="4"/>
        <v>0</v>
      </c>
      <c r="O37" s="126">
        <f t="shared" si="5"/>
        <v>0</v>
      </c>
      <c r="P37" s="126">
        <f t="shared" si="0"/>
        <v>0</v>
      </c>
      <c r="Q37" s="125">
        <v>0</v>
      </c>
    </row>
    <row r="38" spans="1:17" ht="22.5" customHeight="1">
      <c r="A38" s="123">
        <v>202401</v>
      </c>
      <c r="B38" s="124">
        <v>45316</v>
      </c>
      <c r="C38" s="123" t="s">
        <v>13</v>
      </c>
      <c r="D38" s="123">
        <v>81193581330</v>
      </c>
      <c r="E38" s="123">
        <v>850</v>
      </c>
      <c r="F38" s="157">
        <f t="shared" si="1"/>
        <v>41362.114117647056</v>
      </c>
      <c r="G38" s="125">
        <v>35157797</v>
      </c>
      <c r="H38" s="125">
        <v>35157000</v>
      </c>
      <c r="I38" s="125">
        <v>3515600</v>
      </c>
      <c r="J38" s="125">
        <v>0</v>
      </c>
      <c r="K38" s="126">
        <f t="shared" si="2"/>
        <v>2742200</v>
      </c>
      <c r="L38" s="126">
        <f t="shared" si="3"/>
        <v>773400</v>
      </c>
      <c r="M38" s="123">
        <v>850</v>
      </c>
      <c r="N38" s="126">
        <f t="shared" si="4"/>
        <v>35157000</v>
      </c>
      <c r="O38" s="126">
        <f t="shared" si="5"/>
        <v>2742200</v>
      </c>
      <c r="P38" s="126">
        <f t="shared" si="0"/>
        <v>773400</v>
      </c>
      <c r="Q38" s="125">
        <v>3515600</v>
      </c>
    </row>
    <row r="39" spans="1:17" ht="22.5" customHeight="1">
      <c r="A39" s="123">
        <v>202401</v>
      </c>
      <c r="B39" s="124">
        <v>45321</v>
      </c>
      <c r="C39" s="123" t="s">
        <v>13</v>
      </c>
      <c r="D39" s="123">
        <v>81193627900</v>
      </c>
      <c r="E39" s="123">
        <v>1200</v>
      </c>
      <c r="F39" s="157">
        <f t="shared" si="1"/>
        <v>41952.764166666668</v>
      </c>
      <c r="G39" s="125">
        <v>50343317</v>
      </c>
      <c r="H39" s="125">
        <v>50343000</v>
      </c>
      <c r="I39" s="125">
        <v>5034200</v>
      </c>
      <c r="J39" s="125">
        <v>0</v>
      </c>
      <c r="K39" s="126">
        <f t="shared" si="2"/>
        <v>3926700</v>
      </c>
      <c r="L39" s="126">
        <f t="shared" si="3"/>
        <v>1107500</v>
      </c>
      <c r="M39" s="123">
        <v>0</v>
      </c>
      <c r="N39" s="126">
        <f t="shared" si="4"/>
        <v>0</v>
      </c>
      <c r="O39" s="126">
        <f t="shared" si="5"/>
        <v>0</v>
      </c>
      <c r="P39" s="126">
        <f t="shared" si="0"/>
        <v>0</v>
      </c>
      <c r="Q39" s="125">
        <v>0</v>
      </c>
    </row>
    <row r="40" spans="1:17" ht="22.5" customHeight="1">
      <c r="A40" s="123">
        <v>202402</v>
      </c>
      <c r="B40" s="124">
        <v>45329</v>
      </c>
      <c r="C40" s="123" t="s">
        <v>13</v>
      </c>
      <c r="D40" s="123">
        <v>81193769960</v>
      </c>
      <c r="E40" s="123">
        <v>300</v>
      </c>
      <c r="F40" s="157">
        <f t="shared" si="1"/>
        <v>42245.25</v>
      </c>
      <c r="G40" s="125">
        <v>12673575</v>
      </c>
      <c r="H40" s="125">
        <v>12673000</v>
      </c>
      <c r="I40" s="125">
        <v>1267100</v>
      </c>
      <c r="J40" s="125">
        <v>0</v>
      </c>
      <c r="K40" s="126">
        <f t="shared" si="2"/>
        <v>988400</v>
      </c>
      <c r="L40" s="126">
        <f t="shared" si="3"/>
        <v>278700</v>
      </c>
      <c r="M40" s="123">
        <v>300</v>
      </c>
      <c r="N40" s="126">
        <f t="shared" si="4"/>
        <v>12673000</v>
      </c>
      <c r="O40" s="126">
        <f t="shared" si="5"/>
        <v>988400</v>
      </c>
      <c r="P40" s="126">
        <f t="shared" si="0"/>
        <v>278700</v>
      </c>
      <c r="Q40" s="125">
        <v>1267100</v>
      </c>
    </row>
    <row r="41" spans="1:17" ht="22.5" customHeight="1">
      <c r="A41" s="123">
        <v>202402</v>
      </c>
      <c r="B41" s="124">
        <v>45343</v>
      </c>
      <c r="C41" s="123" t="s">
        <v>48</v>
      </c>
      <c r="D41" s="123">
        <v>81194041560</v>
      </c>
      <c r="E41" s="123">
        <v>399</v>
      </c>
      <c r="F41" s="157">
        <f t="shared" si="1"/>
        <v>42107.581453634084</v>
      </c>
      <c r="G41" s="125">
        <v>16800925</v>
      </c>
      <c r="H41" s="125">
        <v>16800000</v>
      </c>
      <c r="I41" s="125">
        <v>1680000</v>
      </c>
      <c r="J41" s="125">
        <v>0</v>
      </c>
      <c r="K41" s="126">
        <f t="shared" si="2"/>
        <v>1310400</v>
      </c>
      <c r="L41" s="126">
        <f t="shared" si="3"/>
        <v>369600</v>
      </c>
      <c r="M41" s="123">
        <v>399</v>
      </c>
      <c r="N41" s="126">
        <f t="shared" si="4"/>
        <v>16800000</v>
      </c>
      <c r="O41" s="126">
        <f t="shared" si="5"/>
        <v>1310400</v>
      </c>
      <c r="P41" s="126">
        <f t="shared" si="0"/>
        <v>369600</v>
      </c>
      <c r="Q41" s="125">
        <v>1680000</v>
      </c>
    </row>
    <row r="42" spans="1:17" ht="22.5" customHeight="1">
      <c r="A42" s="123">
        <v>202402</v>
      </c>
      <c r="B42" s="124">
        <v>45350</v>
      </c>
      <c r="C42" s="123" t="s">
        <v>13</v>
      </c>
      <c r="D42" s="123">
        <v>81194158240</v>
      </c>
      <c r="E42" s="123">
        <v>1480</v>
      </c>
      <c r="F42" s="157">
        <f t="shared" si="1"/>
        <v>41922.860810810809</v>
      </c>
      <c r="G42" s="125">
        <v>62045834</v>
      </c>
      <c r="H42" s="125">
        <v>62045000</v>
      </c>
      <c r="I42" s="125">
        <v>6204400</v>
      </c>
      <c r="J42" s="125">
        <v>0</v>
      </c>
      <c r="K42" s="126">
        <f t="shared" si="2"/>
        <v>4839500</v>
      </c>
      <c r="L42" s="126">
        <f t="shared" si="3"/>
        <v>1364900</v>
      </c>
      <c r="M42" s="123">
        <v>480</v>
      </c>
      <c r="N42" s="126">
        <f t="shared" si="4"/>
        <v>20122700</v>
      </c>
      <c r="O42" s="126">
        <f t="shared" si="5"/>
        <v>1569500</v>
      </c>
      <c r="P42" s="126">
        <f t="shared" si="0"/>
        <v>442700</v>
      </c>
      <c r="Q42" s="125">
        <v>2012200</v>
      </c>
    </row>
    <row r="43" spans="1:17" ht="22.5" customHeight="1">
      <c r="A43" s="123">
        <v>202403</v>
      </c>
      <c r="B43" s="124">
        <v>45373</v>
      </c>
      <c r="C43" s="123" t="s">
        <v>13</v>
      </c>
      <c r="D43" s="123">
        <v>81194551640</v>
      </c>
      <c r="E43" s="123">
        <v>1650</v>
      </c>
      <c r="F43" s="157">
        <f t="shared" si="1"/>
        <v>37348.576363636363</v>
      </c>
      <c r="G43" s="125">
        <v>61625151</v>
      </c>
      <c r="H43" s="125">
        <v>61625000</v>
      </c>
      <c r="I43" s="125">
        <v>6162400</v>
      </c>
      <c r="J43" s="125">
        <v>0</v>
      </c>
      <c r="K43" s="126">
        <f t="shared" si="2"/>
        <v>4806700</v>
      </c>
      <c r="L43" s="126">
        <f t="shared" si="3"/>
        <v>1355700</v>
      </c>
      <c r="M43" s="123">
        <v>650</v>
      </c>
      <c r="N43" s="126">
        <f t="shared" si="4"/>
        <v>24276500</v>
      </c>
      <c r="O43" s="126">
        <f t="shared" si="5"/>
        <v>1893500</v>
      </c>
      <c r="P43" s="126">
        <f t="shared" si="0"/>
        <v>534100</v>
      </c>
      <c r="Q43" s="125">
        <v>2427600</v>
      </c>
    </row>
    <row r="44" spans="1:17" ht="22.5" customHeight="1">
      <c r="A44" s="123">
        <v>202403</v>
      </c>
      <c r="B44" s="124">
        <v>45377</v>
      </c>
      <c r="C44" s="123" t="s">
        <v>48</v>
      </c>
      <c r="D44" s="123">
        <v>81194583620</v>
      </c>
      <c r="E44" s="123">
        <v>400</v>
      </c>
      <c r="F44" s="157">
        <f t="shared" si="1"/>
        <v>40796.004999999997</v>
      </c>
      <c r="G44" s="125">
        <v>16318402</v>
      </c>
      <c r="H44" s="125">
        <v>16318000</v>
      </c>
      <c r="I44" s="125">
        <v>1631700</v>
      </c>
      <c r="J44" s="125">
        <v>0</v>
      </c>
      <c r="K44" s="126">
        <f t="shared" si="2"/>
        <v>1272800</v>
      </c>
      <c r="L44" s="126">
        <f t="shared" si="3"/>
        <v>358900</v>
      </c>
      <c r="M44" s="123">
        <v>0</v>
      </c>
      <c r="N44" s="126">
        <f t="shared" si="4"/>
        <v>0</v>
      </c>
      <c r="O44" s="126">
        <f t="shared" si="5"/>
        <v>0</v>
      </c>
      <c r="P44" s="126">
        <f t="shared" si="0"/>
        <v>0</v>
      </c>
      <c r="Q44" s="125">
        <v>0</v>
      </c>
    </row>
    <row r="45" spans="1:17" ht="22.5" customHeight="1">
      <c r="F45" s="157" t="e">
        <f t="shared" si="1"/>
        <v>#DIV/0!</v>
      </c>
      <c r="K45" s="126">
        <f t="shared" si="2"/>
        <v>0</v>
      </c>
      <c r="L45" s="126">
        <f t="shared" si="3"/>
        <v>0</v>
      </c>
      <c r="N45" s="126" t="e">
        <f t="shared" si="4"/>
        <v>#DIV/0!</v>
      </c>
      <c r="O45" s="126" t="e">
        <f t="shared" si="5"/>
        <v>#DIV/0!</v>
      </c>
      <c r="P45" s="126" t="e">
        <f t="shared" si="0"/>
        <v>#DIV/0!</v>
      </c>
    </row>
    <row r="46" spans="1:17" ht="22.5" customHeight="1">
      <c r="F46" s="157" t="e">
        <f t="shared" si="1"/>
        <v>#DIV/0!</v>
      </c>
      <c r="K46" s="126">
        <f t="shared" si="2"/>
        <v>0</v>
      </c>
      <c r="L46" s="126">
        <f t="shared" si="3"/>
        <v>0</v>
      </c>
      <c r="N46" s="126" t="e">
        <f t="shared" si="4"/>
        <v>#DIV/0!</v>
      </c>
      <c r="O46" s="126" t="e">
        <f t="shared" si="5"/>
        <v>#DIV/0!</v>
      </c>
      <c r="P46" s="126" t="e">
        <f t="shared" si="0"/>
        <v>#DIV/0!</v>
      </c>
    </row>
    <row r="47" spans="1:17" ht="22.5" customHeight="1">
      <c r="F47" s="157" t="e">
        <f t="shared" si="1"/>
        <v>#DIV/0!</v>
      </c>
      <c r="K47" s="126">
        <f t="shared" si="2"/>
        <v>0</v>
      </c>
      <c r="L47" s="126">
        <f t="shared" si="3"/>
        <v>0</v>
      </c>
      <c r="N47" s="126" t="e">
        <f t="shared" si="4"/>
        <v>#DIV/0!</v>
      </c>
      <c r="O47" s="126" t="e">
        <f t="shared" si="5"/>
        <v>#DIV/0!</v>
      </c>
      <c r="P47" s="126" t="e">
        <f t="shared" si="0"/>
        <v>#DIV/0!</v>
      </c>
    </row>
    <row r="48" spans="1:17" ht="22.5" customHeight="1">
      <c r="F48" s="157" t="e">
        <f t="shared" si="1"/>
        <v>#DIV/0!</v>
      </c>
      <c r="K48" s="126">
        <f t="shared" si="2"/>
        <v>0</v>
      </c>
      <c r="L48" s="126">
        <f t="shared" si="3"/>
        <v>0</v>
      </c>
      <c r="N48" s="126" t="e">
        <f t="shared" si="4"/>
        <v>#DIV/0!</v>
      </c>
      <c r="O48" s="126" t="e">
        <f t="shared" si="5"/>
        <v>#DIV/0!</v>
      </c>
      <c r="P48" s="126" t="e">
        <f t="shared" si="0"/>
        <v>#DIV/0!</v>
      </c>
    </row>
    <row r="49" spans="6:17" ht="22.5" customHeight="1">
      <c r="F49" s="157" t="e">
        <f t="shared" si="1"/>
        <v>#DIV/0!</v>
      </c>
      <c r="K49" s="126">
        <f t="shared" si="2"/>
        <v>0</v>
      </c>
      <c r="L49" s="126">
        <f t="shared" si="3"/>
        <v>0</v>
      </c>
      <c r="N49" s="126" t="e">
        <f t="shared" si="4"/>
        <v>#DIV/0!</v>
      </c>
      <c r="O49" s="126" t="e">
        <f t="shared" si="5"/>
        <v>#DIV/0!</v>
      </c>
      <c r="P49" s="126" t="e">
        <f t="shared" si="0"/>
        <v>#DIV/0!</v>
      </c>
    </row>
    <row r="50" spans="6:17" ht="22.5" customHeight="1">
      <c r="F50" s="157" t="e">
        <f t="shared" si="1"/>
        <v>#DIV/0!</v>
      </c>
      <c r="K50" s="126">
        <f t="shared" si="2"/>
        <v>0</v>
      </c>
      <c r="L50" s="126">
        <f t="shared" si="3"/>
        <v>0</v>
      </c>
      <c r="N50" s="126" t="e">
        <f t="shared" si="4"/>
        <v>#DIV/0!</v>
      </c>
      <c r="O50" s="126" t="e">
        <f t="shared" si="5"/>
        <v>#DIV/0!</v>
      </c>
      <c r="P50" s="126" t="e">
        <f t="shared" si="0"/>
        <v>#DIV/0!</v>
      </c>
    </row>
    <row r="51" spans="6:17" ht="22.5" customHeight="1">
      <c r="F51" s="157" t="e">
        <f t="shared" si="1"/>
        <v>#DIV/0!</v>
      </c>
      <c r="K51" s="126">
        <f t="shared" si="2"/>
        <v>0</v>
      </c>
      <c r="L51" s="126">
        <f t="shared" si="3"/>
        <v>0</v>
      </c>
      <c r="N51" s="126" t="e">
        <f t="shared" si="4"/>
        <v>#DIV/0!</v>
      </c>
      <c r="O51" s="126" t="e">
        <f t="shared" si="5"/>
        <v>#DIV/0!</v>
      </c>
      <c r="P51" s="126" t="e">
        <f t="shared" si="0"/>
        <v>#DIV/0!</v>
      </c>
    </row>
    <row r="52" spans="6:17" ht="29.25" customHeight="1">
      <c r="N52" s="127"/>
      <c r="O52" s="126" t="e">
        <f>SUM(O4:O51)</f>
        <v>#DIV/0!</v>
      </c>
      <c r="P52" s="126" t="e">
        <f>SUM(P4:P51)</f>
        <v>#DIV/0!</v>
      </c>
      <c r="Q52" s="125">
        <f>SUM(Q4:Q51)</f>
        <v>52130800</v>
      </c>
    </row>
  </sheetData>
  <autoFilter ref="A3:Q52" xr:uid="{7FF02D80-10B7-45F2-B0EC-AD9433041671}"/>
  <phoneticPr fontId="1"/>
  <pageMargins left="0.7" right="0.7" top="0.75" bottom="0.75" header="0.3" footer="0.3"/>
  <pageSetup paperSize="9" scale="68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A35C-EF5A-48B8-8152-F834F9A75E08}">
  <sheetPr filterMode="1">
    <pageSetUpPr fitToPage="1"/>
  </sheetPr>
  <dimension ref="A3:Q52"/>
  <sheetViews>
    <sheetView zoomScale="85" zoomScaleNormal="85" workbookViewId="0">
      <pane xSplit="1" ySplit="3" topLeftCell="B25" activePane="bottomRight" state="frozen"/>
      <selection pane="topRight" activeCell="B1" sqref="B1"/>
      <selection pane="bottomLeft" activeCell="A2" sqref="A2"/>
      <selection pane="bottomRight" activeCell="J9" sqref="J9"/>
    </sheetView>
  </sheetViews>
  <sheetFormatPr defaultRowHeight="14.25"/>
  <cols>
    <col min="1" max="1" width="14.125" style="123" customWidth="1"/>
    <col min="2" max="2" width="13.25" style="124" bestFit="1" customWidth="1"/>
    <col min="3" max="3" width="9.5" style="123" customWidth="1"/>
    <col min="4" max="4" width="18" style="123" customWidth="1"/>
    <col min="5" max="5" width="11.625" style="123" customWidth="1"/>
    <col min="6" max="6" width="9.625" style="138" customWidth="1"/>
    <col min="7" max="8" width="14.375" style="125" customWidth="1"/>
    <col min="9" max="9" width="12" style="125" bestFit="1" customWidth="1"/>
    <col min="10" max="10" width="7" style="125" customWidth="1"/>
    <col min="11" max="11" width="12.875" style="125" customWidth="1"/>
    <col min="12" max="12" width="14.75" style="125" customWidth="1"/>
    <col min="13" max="13" width="11.375" style="123" customWidth="1"/>
    <col min="14" max="14" width="12" style="123" bestFit="1" customWidth="1"/>
    <col min="15" max="16" width="16.75" style="125" customWidth="1"/>
    <col min="17" max="17" width="11.625" style="125" bestFit="1" customWidth="1"/>
    <col min="18" max="16384" width="9" style="123"/>
  </cols>
  <sheetData>
    <row r="3" spans="1:17" s="128" customFormat="1" ht="74.25" customHeight="1">
      <c r="A3" s="128" t="s">
        <v>54</v>
      </c>
      <c r="B3" s="129" t="s">
        <v>85</v>
      </c>
      <c r="C3" s="128" t="s">
        <v>50</v>
      </c>
      <c r="D3" s="128" t="s">
        <v>51</v>
      </c>
      <c r="E3" s="130" t="s">
        <v>77</v>
      </c>
      <c r="F3" s="136" t="s">
        <v>94</v>
      </c>
      <c r="G3" s="131" t="s">
        <v>86</v>
      </c>
      <c r="H3" s="135" t="s">
        <v>93</v>
      </c>
      <c r="I3" s="131" t="s">
        <v>87</v>
      </c>
      <c r="J3" s="132" t="s">
        <v>88</v>
      </c>
      <c r="K3" s="131" t="s">
        <v>89</v>
      </c>
      <c r="L3" s="131" t="s">
        <v>90</v>
      </c>
      <c r="M3" s="133" t="s">
        <v>82</v>
      </c>
      <c r="N3" s="133" t="s">
        <v>83</v>
      </c>
      <c r="O3" s="134" t="s">
        <v>80</v>
      </c>
      <c r="P3" s="134" t="s">
        <v>81</v>
      </c>
      <c r="Q3" s="122" t="s">
        <v>84</v>
      </c>
    </row>
    <row r="4" spans="1:17" ht="22.5" hidden="1" customHeight="1">
      <c r="A4" s="123">
        <v>202204</v>
      </c>
      <c r="B4" s="124">
        <v>44652</v>
      </c>
      <c r="C4" s="123" t="s">
        <v>48</v>
      </c>
      <c r="D4" s="123">
        <v>81181311620</v>
      </c>
      <c r="E4" s="123">
        <v>400</v>
      </c>
      <c r="F4" s="137">
        <f>G4/E4</f>
        <v>39709.232499999998</v>
      </c>
      <c r="G4" s="125">
        <v>15883693</v>
      </c>
      <c r="H4" s="125">
        <v>15883000</v>
      </c>
      <c r="I4" s="125">
        <v>1588200</v>
      </c>
      <c r="J4" s="125">
        <v>0</v>
      </c>
      <c r="K4" s="126">
        <f>ROUNDDOWN(H4*7.8/100,-2)</f>
        <v>1238800</v>
      </c>
      <c r="L4" s="126">
        <f>I4-K4</f>
        <v>349400</v>
      </c>
      <c r="M4" s="123">
        <v>0</v>
      </c>
      <c r="N4" s="126">
        <f>ROUND(H4/E4*M4,-2)</f>
        <v>0</v>
      </c>
      <c r="O4" s="126">
        <f>ROUNDDOWN(N4*7.8/100,-2)</f>
        <v>0</v>
      </c>
      <c r="P4" s="126">
        <f t="shared" ref="P4:P51" si="0">Q4-O4</f>
        <v>0</v>
      </c>
      <c r="Q4" s="125">
        <v>0</v>
      </c>
    </row>
    <row r="5" spans="1:17" ht="22.5" customHeight="1">
      <c r="A5" s="123">
        <v>202204</v>
      </c>
      <c r="B5" s="124">
        <v>44656</v>
      </c>
      <c r="C5" s="123" t="s">
        <v>48</v>
      </c>
      <c r="D5" s="123">
        <v>81181360950</v>
      </c>
      <c r="E5" s="123">
        <v>250</v>
      </c>
      <c r="F5" s="137">
        <f t="shared" ref="F5:F51" si="1">G5/E5</f>
        <v>38982.576000000001</v>
      </c>
      <c r="G5" s="125">
        <v>9745644</v>
      </c>
      <c r="H5" s="125">
        <v>9745000</v>
      </c>
      <c r="I5" s="125">
        <v>974400</v>
      </c>
      <c r="J5" s="125">
        <v>0</v>
      </c>
      <c r="K5" s="126">
        <f t="shared" ref="K5:K51" si="2">ROUNDDOWN(H5*7.8/100,-2)</f>
        <v>760100</v>
      </c>
      <c r="L5" s="126">
        <f t="shared" ref="L5:L51" si="3">I5-K5</f>
        <v>214300</v>
      </c>
      <c r="M5" s="123">
        <v>250</v>
      </c>
      <c r="N5" s="126">
        <f t="shared" ref="N5:N51" si="4">ROUND(H5/E5*M5,-2)</f>
        <v>9745000</v>
      </c>
      <c r="O5" s="126">
        <f t="shared" ref="O5:O51" si="5">ROUNDDOWN(N5*7.8/100,-2)</f>
        <v>760100</v>
      </c>
      <c r="P5" s="126">
        <f t="shared" si="0"/>
        <v>214300</v>
      </c>
      <c r="Q5" s="125">
        <v>974400</v>
      </c>
    </row>
    <row r="6" spans="1:17" ht="22.5" hidden="1" customHeight="1">
      <c r="A6" s="123">
        <v>202204</v>
      </c>
      <c r="B6" s="124">
        <v>44663</v>
      </c>
      <c r="C6" s="123" t="s">
        <v>48</v>
      </c>
      <c r="D6" s="123">
        <v>81181536210</v>
      </c>
      <c r="E6" s="123">
        <v>400</v>
      </c>
      <c r="F6" s="137">
        <f t="shared" si="1"/>
        <v>39508.44</v>
      </c>
      <c r="G6" s="125">
        <v>15803376</v>
      </c>
      <c r="H6" s="125">
        <v>15803000</v>
      </c>
      <c r="I6" s="125">
        <v>1580200</v>
      </c>
      <c r="J6" s="125">
        <v>0</v>
      </c>
      <c r="K6" s="126">
        <f t="shared" si="2"/>
        <v>1232600</v>
      </c>
      <c r="L6" s="126">
        <f t="shared" si="3"/>
        <v>347600</v>
      </c>
      <c r="M6" s="123">
        <v>0</v>
      </c>
      <c r="N6" s="126">
        <f t="shared" si="4"/>
        <v>0</v>
      </c>
      <c r="O6" s="126">
        <f t="shared" si="5"/>
        <v>0</v>
      </c>
      <c r="P6" s="126">
        <f t="shared" si="0"/>
        <v>0</v>
      </c>
      <c r="Q6" s="125">
        <v>0</v>
      </c>
    </row>
    <row r="7" spans="1:17" ht="22.5" hidden="1" customHeight="1">
      <c r="A7" s="123">
        <v>202204</v>
      </c>
      <c r="B7" s="124">
        <v>44666</v>
      </c>
      <c r="C7" s="123" t="s">
        <v>99</v>
      </c>
      <c r="D7" s="123">
        <v>81181652300</v>
      </c>
      <c r="E7" s="123">
        <v>750</v>
      </c>
      <c r="F7" s="137">
        <f t="shared" si="1"/>
        <v>44619.225333333336</v>
      </c>
      <c r="G7" s="125">
        <v>33464419</v>
      </c>
      <c r="H7" s="125">
        <v>33464000</v>
      </c>
      <c r="I7" s="125">
        <v>3346200</v>
      </c>
      <c r="J7" s="125">
        <v>0</v>
      </c>
      <c r="K7" s="126">
        <f t="shared" si="2"/>
        <v>2610100</v>
      </c>
      <c r="L7" s="126">
        <f t="shared" si="3"/>
        <v>736100</v>
      </c>
      <c r="M7" s="123">
        <v>0</v>
      </c>
      <c r="N7" s="126">
        <f t="shared" si="4"/>
        <v>0</v>
      </c>
      <c r="O7" s="126">
        <f>ROUNDDOWN(N7*7.8/100,-2)</f>
        <v>0</v>
      </c>
      <c r="P7" s="126">
        <f t="shared" si="0"/>
        <v>0</v>
      </c>
      <c r="Q7" s="125">
        <v>0</v>
      </c>
    </row>
    <row r="8" spans="1:17" ht="22.5" customHeight="1">
      <c r="A8" s="123">
        <v>202204</v>
      </c>
      <c r="B8" s="124">
        <v>44672</v>
      </c>
      <c r="C8" s="123" t="s">
        <v>13</v>
      </c>
      <c r="D8" s="123">
        <v>81181763120</v>
      </c>
      <c r="E8" s="123">
        <v>1220</v>
      </c>
      <c r="F8" s="137">
        <f t="shared" si="1"/>
        <v>44843.626229508198</v>
      </c>
      <c r="G8" s="125">
        <v>54709224</v>
      </c>
      <c r="H8" s="125">
        <v>54709000</v>
      </c>
      <c r="I8" s="125">
        <v>5470800</v>
      </c>
      <c r="J8" s="125">
        <v>0</v>
      </c>
      <c r="K8" s="126">
        <f t="shared" si="2"/>
        <v>4267300</v>
      </c>
      <c r="L8" s="126">
        <f t="shared" si="3"/>
        <v>1203500</v>
      </c>
      <c r="M8" s="123">
        <v>820</v>
      </c>
      <c r="N8" s="126">
        <f t="shared" si="4"/>
        <v>36771600</v>
      </c>
      <c r="O8" s="126">
        <f t="shared" si="5"/>
        <v>2868100</v>
      </c>
      <c r="P8" s="126">
        <f t="shared" si="0"/>
        <v>809000</v>
      </c>
      <c r="Q8" s="125">
        <v>3677100</v>
      </c>
    </row>
    <row r="9" spans="1:17" ht="22.5" customHeight="1">
      <c r="A9" s="123">
        <v>202205</v>
      </c>
      <c r="B9" s="124">
        <v>44690</v>
      </c>
      <c r="C9" s="123" t="s">
        <v>13</v>
      </c>
      <c r="D9" s="123">
        <v>81182053360</v>
      </c>
      <c r="E9" s="123">
        <v>960</v>
      </c>
      <c r="F9" s="137">
        <f t="shared" si="1"/>
        <v>52011.955208333333</v>
      </c>
      <c r="G9" s="125">
        <v>49931477</v>
      </c>
      <c r="H9" s="125">
        <v>49931000</v>
      </c>
      <c r="I9" s="125">
        <v>4993000</v>
      </c>
      <c r="J9" s="125">
        <v>0</v>
      </c>
      <c r="K9" s="126">
        <f t="shared" si="2"/>
        <v>3894600</v>
      </c>
      <c r="L9" s="126">
        <f t="shared" si="3"/>
        <v>1098400</v>
      </c>
      <c r="M9" s="123">
        <v>360</v>
      </c>
      <c r="N9" s="126">
        <f t="shared" si="4"/>
        <v>18724100</v>
      </c>
      <c r="O9" s="126">
        <f t="shared" si="5"/>
        <v>1460400</v>
      </c>
      <c r="P9" s="126">
        <f t="shared" si="0"/>
        <v>412000</v>
      </c>
      <c r="Q9" s="125">
        <v>1872400</v>
      </c>
    </row>
    <row r="10" spans="1:17" ht="22.5" hidden="1" customHeight="1">
      <c r="A10" s="123">
        <v>202205</v>
      </c>
      <c r="B10" s="124">
        <v>44701</v>
      </c>
      <c r="C10" s="123" t="s">
        <v>101</v>
      </c>
      <c r="D10" s="123">
        <v>81182346000</v>
      </c>
      <c r="E10" s="123">
        <v>420</v>
      </c>
      <c r="F10" s="137">
        <f t="shared" si="1"/>
        <v>43708.002380952385</v>
      </c>
      <c r="G10" s="125">
        <v>18357361</v>
      </c>
      <c r="H10" s="125">
        <v>18357000</v>
      </c>
      <c r="I10" s="125">
        <v>1835600</v>
      </c>
      <c r="J10" s="125">
        <v>0</v>
      </c>
      <c r="K10" s="126">
        <f t="shared" si="2"/>
        <v>1431800</v>
      </c>
      <c r="L10" s="126">
        <f t="shared" si="3"/>
        <v>403800</v>
      </c>
      <c r="M10" s="123">
        <v>0</v>
      </c>
      <c r="N10" s="126">
        <f t="shared" si="4"/>
        <v>0</v>
      </c>
      <c r="O10" s="126">
        <f t="shared" si="5"/>
        <v>0</v>
      </c>
      <c r="P10" s="126">
        <f t="shared" si="0"/>
        <v>0</v>
      </c>
      <c r="Q10" s="125">
        <v>0</v>
      </c>
    </row>
    <row r="11" spans="1:17" ht="22.5" customHeight="1">
      <c r="A11" s="123">
        <v>202205</v>
      </c>
      <c r="B11" s="124">
        <v>44705</v>
      </c>
      <c r="C11" s="123" t="s">
        <v>13</v>
      </c>
      <c r="D11" s="123">
        <v>81182414710</v>
      </c>
      <c r="E11" s="123">
        <v>2750</v>
      </c>
      <c r="F11" s="137">
        <f t="shared" si="1"/>
        <v>47957.41709090909</v>
      </c>
      <c r="G11" s="125">
        <v>131882897</v>
      </c>
      <c r="H11" s="125">
        <v>131882000</v>
      </c>
      <c r="I11" s="125">
        <v>13188000</v>
      </c>
      <c r="J11" s="125">
        <v>0</v>
      </c>
      <c r="K11" s="126">
        <f t="shared" si="2"/>
        <v>10286700</v>
      </c>
      <c r="L11" s="126">
        <f t="shared" si="3"/>
        <v>2901300</v>
      </c>
      <c r="M11" s="123">
        <v>1250</v>
      </c>
      <c r="N11" s="126">
        <f t="shared" si="4"/>
        <v>59946400</v>
      </c>
      <c r="O11" s="126">
        <f t="shared" si="5"/>
        <v>4675800</v>
      </c>
      <c r="P11" s="126">
        <f t="shared" si="0"/>
        <v>1318800</v>
      </c>
      <c r="Q11" s="125">
        <v>5994600</v>
      </c>
    </row>
    <row r="12" spans="1:17" ht="22.5" hidden="1" customHeight="1">
      <c r="A12" s="123">
        <v>202206</v>
      </c>
      <c r="B12" s="124">
        <v>44715</v>
      </c>
      <c r="C12" s="123" t="s">
        <v>13</v>
      </c>
      <c r="D12" s="123">
        <v>81182643940</v>
      </c>
      <c r="E12" s="123">
        <v>600</v>
      </c>
      <c r="F12" s="137">
        <f t="shared" si="1"/>
        <v>55527.081666666665</v>
      </c>
      <c r="G12" s="125">
        <v>33316249</v>
      </c>
      <c r="H12" s="125">
        <v>33316000</v>
      </c>
      <c r="I12" s="125">
        <v>3331500</v>
      </c>
      <c r="J12" s="125">
        <v>0</v>
      </c>
      <c r="K12" s="126">
        <f t="shared" si="2"/>
        <v>2598600</v>
      </c>
      <c r="L12" s="126">
        <f t="shared" si="3"/>
        <v>732900</v>
      </c>
      <c r="M12" s="123">
        <v>0</v>
      </c>
      <c r="N12" s="126">
        <f t="shared" si="4"/>
        <v>0</v>
      </c>
      <c r="O12" s="126">
        <f t="shared" si="5"/>
        <v>0</v>
      </c>
      <c r="P12" s="126">
        <f t="shared" si="0"/>
        <v>0</v>
      </c>
      <c r="Q12" s="125">
        <v>0</v>
      </c>
    </row>
    <row r="13" spans="1:17" ht="22.5" customHeight="1">
      <c r="A13" s="123">
        <v>202206</v>
      </c>
      <c r="B13" s="124">
        <v>44719</v>
      </c>
      <c r="C13" s="123" t="s">
        <v>48</v>
      </c>
      <c r="D13" s="123">
        <v>81182717810</v>
      </c>
      <c r="E13" s="123">
        <v>367.5</v>
      </c>
      <c r="F13" s="137">
        <f t="shared" si="1"/>
        <v>42930.144217687077</v>
      </c>
      <c r="G13" s="125">
        <v>15776828</v>
      </c>
      <c r="H13" s="125">
        <v>15776000</v>
      </c>
      <c r="I13" s="125">
        <v>1577500</v>
      </c>
      <c r="J13" s="125">
        <v>0</v>
      </c>
      <c r="K13" s="126">
        <f t="shared" si="2"/>
        <v>1230500</v>
      </c>
      <c r="L13" s="126">
        <f t="shared" si="3"/>
        <v>347000</v>
      </c>
      <c r="M13" s="123">
        <v>367.5</v>
      </c>
      <c r="N13" s="126">
        <f t="shared" si="4"/>
        <v>15776000</v>
      </c>
      <c r="O13" s="126">
        <f t="shared" si="5"/>
        <v>1230500</v>
      </c>
      <c r="P13" s="126">
        <f t="shared" si="0"/>
        <v>347000</v>
      </c>
      <c r="Q13" s="125">
        <v>1577500</v>
      </c>
    </row>
    <row r="14" spans="1:17" ht="22.5" hidden="1" customHeight="1">
      <c r="A14" s="123">
        <v>202206</v>
      </c>
      <c r="B14" s="124">
        <v>44727</v>
      </c>
      <c r="C14" s="123" t="s">
        <v>48</v>
      </c>
      <c r="D14" s="123">
        <v>81182894060</v>
      </c>
      <c r="E14" s="123">
        <v>1045</v>
      </c>
      <c r="F14" s="137">
        <f t="shared" si="1"/>
        <v>40585.100478468899</v>
      </c>
      <c r="G14" s="125">
        <v>42411430</v>
      </c>
      <c r="H14" s="125">
        <v>42411000</v>
      </c>
      <c r="I14" s="125">
        <v>4241000</v>
      </c>
      <c r="J14" s="125">
        <v>0</v>
      </c>
      <c r="K14" s="126">
        <f t="shared" si="2"/>
        <v>3308000</v>
      </c>
      <c r="L14" s="126">
        <f t="shared" si="3"/>
        <v>933000</v>
      </c>
      <c r="M14" s="123">
        <v>0</v>
      </c>
      <c r="N14" s="126">
        <f t="shared" si="4"/>
        <v>0</v>
      </c>
      <c r="O14" s="126">
        <f t="shared" si="5"/>
        <v>0</v>
      </c>
      <c r="P14" s="126">
        <f t="shared" si="0"/>
        <v>0</v>
      </c>
      <c r="Q14" s="125">
        <v>0</v>
      </c>
    </row>
    <row r="15" spans="1:17" ht="22.5" customHeight="1">
      <c r="A15" s="123">
        <v>202206</v>
      </c>
      <c r="B15" s="124">
        <v>44729</v>
      </c>
      <c r="C15" s="123" t="s">
        <v>13</v>
      </c>
      <c r="D15" s="123">
        <v>81182947410</v>
      </c>
      <c r="E15" s="123">
        <v>900</v>
      </c>
      <c r="F15" s="137">
        <f t="shared" si="1"/>
        <v>55548.537777777776</v>
      </c>
      <c r="G15" s="125">
        <v>49993684</v>
      </c>
      <c r="H15" s="125">
        <v>49993000</v>
      </c>
      <c r="I15" s="125">
        <v>4999200</v>
      </c>
      <c r="J15" s="125">
        <v>0</v>
      </c>
      <c r="K15" s="126">
        <f t="shared" si="2"/>
        <v>3899400</v>
      </c>
      <c r="L15" s="126">
        <f t="shared" si="3"/>
        <v>1099800</v>
      </c>
      <c r="M15" s="123">
        <v>800</v>
      </c>
      <c r="N15" s="126">
        <f t="shared" si="4"/>
        <v>44438200</v>
      </c>
      <c r="O15" s="126">
        <f t="shared" si="5"/>
        <v>3466100</v>
      </c>
      <c r="P15" s="126">
        <f t="shared" si="0"/>
        <v>977600</v>
      </c>
      <c r="Q15" s="125">
        <v>4443700</v>
      </c>
    </row>
    <row r="16" spans="1:17" ht="22.5" hidden="1" customHeight="1">
      <c r="A16" s="123">
        <v>202207</v>
      </c>
      <c r="B16" s="124">
        <v>44747</v>
      </c>
      <c r="C16" s="123" t="s">
        <v>13</v>
      </c>
      <c r="D16" s="123">
        <v>81183279800</v>
      </c>
      <c r="E16" s="123">
        <v>1100</v>
      </c>
      <c r="F16" s="137">
        <f t="shared" si="1"/>
        <v>57630.873636363634</v>
      </c>
      <c r="G16" s="125">
        <v>63393961</v>
      </c>
      <c r="H16" s="125">
        <v>63393000</v>
      </c>
      <c r="I16" s="125">
        <v>6339200</v>
      </c>
      <c r="J16" s="125">
        <v>0</v>
      </c>
      <c r="K16" s="126">
        <f t="shared" si="2"/>
        <v>4944600</v>
      </c>
      <c r="L16" s="126">
        <f t="shared" si="3"/>
        <v>1394600</v>
      </c>
      <c r="M16" s="123">
        <v>0</v>
      </c>
      <c r="N16" s="126">
        <f t="shared" si="4"/>
        <v>0</v>
      </c>
      <c r="O16" s="126">
        <f t="shared" si="5"/>
        <v>0</v>
      </c>
      <c r="P16" s="126">
        <f t="shared" si="0"/>
        <v>0</v>
      </c>
      <c r="Q16" s="125">
        <v>0</v>
      </c>
    </row>
    <row r="17" spans="1:17" ht="22.5" hidden="1" customHeight="1">
      <c r="A17" s="123">
        <v>202207</v>
      </c>
      <c r="B17" s="124">
        <v>44749</v>
      </c>
      <c r="C17" s="123" t="s">
        <v>48</v>
      </c>
      <c r="D17" s="123">
        <v>81183331710</v>
      </c>
      <c r="E17" s="123">
        <v>380</v>
      </c>
      <c r="F17" s="137">
        <f t="shared" si="1"/>
        <v>42683.673684210524</v>
      </c>
      <c r="G17" s="125">
        <v>16219796</v>
      </c>
      <c r="H17" s="125">
        <v>16219000</v>
      </c>
      <c r="I17" s="125">
        <v>1621700</v>
      </c>
      <c r="J17" s="125">
        <v>0</v>
      </c>
      <c r="K17" s="126">
        <f t="shared" si="2"/>
        <v>1265000</v>
      </c>
      <c r="L17" s="126">
        <f t="shared" si="3"/>
        <v>356700</v>
      </c>
      <c r="M17" s="123">
        <v>0</v>
      </c>
      <c r="N17" s="126">
        <f t="shared" si="4"/>
        <v>0</v>
      </c>
      <c r="O17" s="126">
        <f t="shared" si="5"/>
        <v>0</v>
      </c>
      <c r="P17" s="126">
        <f t="shared" si="0"/>
        <v>0</v>
      </c>
      <c r="Q17" s="125">
        <v>0</v>
      </c>
    </row>
    <row r="18" spans="1:17" ht="22.5" hidden="1" customHeight="1">
      <c r="A18" s="123">
        <v>202207</v>
      </c>
      <c r="B18" s="124">
        <v>44763</v>
      </c>
      <c r="C18" s="123" t="s">
        <v>13</v>
      </c>
      <c r="D18" s="123">
        <v>81183622650</v>
      </c>
      <c r="E18" s="123">
        <v>300</v>
      </c>
      <c r="F18" s="137">
        <f t="shared" si="1"/>
        <v>56441.596666666665</v>
      </c>
      <c r="G18" s="125">
        <v>16932479</v>
      </c>
      <c r="H18" s="125">
        <v>16932000</v>
      </c>
      <c r="I18" s="125">
        <v>1693000</v>
      </c>
      <c r="J18" s="125">
        <v>0</v>
      </c>
      <c r="K18" s="126">
        <f t="shared" si="2"/>
        <v>1320600</v>
      </c>
      <c r="L18" s="126">
        <f t="shared" si="3"/>
        <v>372400</v>
      </c>
      <c r="M18" s="123">
        <v>0</v>
      </c>
      <c r="N18" s="126">
        <f t="shared" si="4"/>
        <v>0</v>
      </c>
      <c r="O18" s="126">
        <f t="shared" si="5"/>
        <v>0</v>
      </c>
      <c r="P18" s="126">
        <f t="shared" si="0"/>
        <v>0</v>
      </c>
      <c r="Q18" s="125">
        <v>0</v>
      </c>
    </row>
    <row r="19" spans="1:17" ht="22.5" customHeight="1">
      <c r="A19" s="123">
        <v>202208</v>
      </c>
      <c r="B19" s="124">
        <v>44775</v>
      </c>
      <c r="C19" s="123" t="s">
        <v>13</v>
      </c>
      <c r="D19" s="123">
        <v>81183810250</v>
      </c>
      <c r="E19" s="123">
        <v>2800</v>
      </c>
      <c r="F19" s="137">
        <f t="shared" si="1"/>
        <v>57413.19535714286</v>
      </c>
      <c r="G19" s="125">
        <v>160756947</v>
      </c>
      <c r="H19" s="125">
        <v>160756000</v>
      </c>
      <c r="I19" s="125">
        <v>16075500</v>
      </c>
      <c r="J19" s="125">
        <v>0</v>
      </c>
      <c r="K19" s="126">
        <f t="shared" si="2"/>
        <v>12538900</v>
      </c>
      <c r="L19" s="126">
        <f t="shared" si="3"/>
        <v>3536600</v>
      </c>
      <c r="M19" s="123">
        <v>1200</v>
      </c>
      <c r="N19" s="126">
        <f t="shared" si="4"/>
        <v>68895400</v>
      </c>
      <c r="O19" s="126">
        <f t="shared" si="5"/>
        <v>5373800</v>
      </c>
      <c r="P19" s="126">
        <f t="shared" si="0"/>
        <v>1515700</v>
      </c>
      <c r="Q19" s="125">
        <v>6889500</v>
      </c>
    </row>
    <row r="20" spans="1:17" ht="22.5" customHeight="1">
      <c r="A20" s="123">
        <v>202208</v>
      </c>
      <c r="B20" s="124">
        <v>44781</v>
      </c>
      <c r="C20" s="123" t="s">
        <v>104</v>
      </c>
      <c r="D20" s="123">
        <v>81183974160</v>
      </c>
      <c r="E20" s="123">
        <v>200</v>
      </c>
      <c r="F20" s="137">
        <f t="shared" si="1"/>
        <v>41608.245000000003</v>
      </c>
      <c r="G20" s="125">
        <v>8321649</v>
      </c>
      <c r="H20" s="125">
        <v>8321000</v>
      </c>
      <c r="I20" s="125">
        <v>832000</v>
      </c>
      <c r="J20" s="125">
        <v>0</v>
      </c>
      <c r="K20" s="126">
        <f t="shared" si="2"/>
        <v>649000</v>
      </c>
      <c r="L20" s="126">
        <f t="shared" si="3"/>
        <v>183000</v>
      </c>
      <c r="M20" s="123">
        <v>200</v>
      </c>
      <c r="N20" s="126">
        <f t="shared" si="4"/>
        <v>8321000</v>
      </c>
      <c r="O20" s="126">
        <f t="shared" si="5"/>
        <v>649000</v>
      </c>
      <c r="P20" s="126">
        <f t="shared" si="0"/>
        <v>183000</v>
      </c>
      <c r="Q20" s="125">
        <v>832000</v>
      </c>
    </row>
    <row r="21" spans="1:17" ht="22.5" hidden="1" customHeight="1">
      <c r="A21" s="123">
        <v>202208</v>
      </c>
      <c r="B21" s="124">
        <v>44791</v>
      </c>
      <c r="C21" s="123" t="s">
        <v>48</v>
      </c>
      <c r="D21" s="123">
        <v>81184191860</v>
      </c>
      <c r="E21" s="123">
        <v>1000</v>
      </c>
      <c r="F21" s="137">
        <f t="shared" si="1"/>
        <v>41590.360999999997</v>
      </c>
      <c r="G21" s="125">
        <v>41590361</v>
      </c>
      <c r="H21" s="125">
        <v>41590000</v>
      </c>
      <c r="I21" s="125">
        <v>4158900</v>
      </c>
      <c r="J21" s="125">
        <v>0</v>
      </c>
      <c r="K21" s="126">
        <f t="shared" si="2"/>
        <v>3244000</v>
      </c>
      <c r="L21" s="126">
        <f t="shared" si="3"/>
        <v>914900</v>
      </c>
      <c r="M21" s="123">
        <v>0</v>
      </c>
      <c r="N21" s="126">
        <f t="shared" si="4"/>
        <v>0</v>
      </c>
      <c r="O21" s="126">
        <f t="shared" si="5"/>
        <v>0</v>
      </c>
      <c r="P21" s="126">
        <f t="shared" si="0"/>
        <v>0</v>
      </c>
      <c r="Q21" s="125">
        <v>0</v>
      </c>
    </row>
    <row r="22" spans="1:17" ht="22.5" hidden="1" customHeight="1">
      <c r="A22" s="123">
        <v>202209</v>
      </c>
      <c r="B22" s="124">
        <v>44810</v>
      </c>
      <c r="C22" s="123" t="s">
        <v>13</v>
      </c>
      <c r="D22" s="123">
        <v>81184572920</v>
      </c>
      <c r="E22" s="123">
        <v>1350</v>
      </c>
      <c r="F22" s="137">
        <f t="shared" si="1"/>
        <v>60835.854814814818</v>
      </c>
      <c r="G22" s="125">
        <v>82128404</v>
      </c>
      <c r="H22" s="125">
        <v>82128000</v>
      </c>
      <c r="I22" s="125">
        <v>8212600</v>
      </c>
      <c r="J22" s="125">
        <v>0</v>
      </c>
      <c r="K22" s="126">
        <f t="shared" si="2"/>
        <v>6405900</v>
      </c>
      <c r="L22" s="126">
        <f t="shared" si="3"/>
        <v>1806700</v>
      </c>
      <c r="M22" s="123">
        <v>0</v>
      </c>
      <c r="N22" s="126">
        <f t="shared" si="4"/>
        <v>0</v>
      </c>
      <c r="O22" s="126">
        <f t="shared" si="5"/>
        <v>0</v>
      </c>
      <c r="P22" s="126">
        <f t="shared" si="0"/>
        <v>0</v>
      </c>
      <c r="Q22" s="125">
        <v>0</v>
      </c>
    </row>
    <row r="23" spans="1:17" ht="22.5" customHeight="1">
      <c r="A23" s="123">
        <v>202209</v>
      </c>
      <c r="B23" s="124">
        <v>44826</v>
      </c>
      <c r="C23" s="123" t="s">
        <v>13</v>
      </c>
      <c r="D23" s="123">
        <v>81184862720</v>
      </c>
      <c r="E23" s="123">
        <v>2100</v>
      </c>
      <c r="F23" s="137">
        <f t="shared" si="1"/>
        <v>56382.603809523811</v>
      </c>
      <c r="G23" s="125">
        <v>118403468</v>
      </c>
      <c r="H23" s="125">
        <v>118403000</v>
      </c>
      <c r="I23" s="125">
        <v>11840200</v>
      </c>
      <c r="J23" s="125">
        <v>0</v>
      </c>
      <c r="K23" s="126">
        <f t="shared" si="2"/>
        <v>9235400</v>
      </c>
      <c r="L23" s="126">
        <f t="shared" si="3"/>
        <v>2604800</v>
      </c>
      <c r="M23" s="123">
        <v>800</v>
      </c>
      <c r="N23" s="126">
        <f t="shared" si="4"/>
        <v>45105900</v>
      </c>
      <c r="O23" s="126">
        <f t="shared" si="5"/>
        <v>3518200</v>
      </c>
      <c r="P23" s="126">
        <f t="shared" si="0"/>
        <v>992350</v>
      </c>
      <c r="Q23" s="125">
        <v>4510550</v>
      </c>
    </row>
    <row r="24" spans="1:17" ht="22.5" hidden="1" customHeight="1">
      <c r="A24" s="123">
        <v>202209</v>
      </c>
      <c r="B24" s="124">
        <v>44830</v>
      </c>
      <c r="C24" s="123" t="s">
        <v>48</v>
      </c>
      <c r="D24" s="123">
        <v>81184899230</v>
      </c>
      <c r="E24" s="123">
        <v>230</v>
      </c>
      <c r="F24" s="137">
        <f t="shared" si="1"/>
        <v>45000.921739130434</v>
      </c>
      <c r="G24" s="125">
        <v>10350212</v>
      </c>
      <c r="H24" s="125">
        <v>10350000</v>
      </c>
      <c r="I24" s="125">
        <v>1035000</v>
      </c>
      <c r="J24" s="125">
        <v>0</v>
      </c>
      <c r="K24" s="126">
        <f t="shared" si="2"/>
        <v>807300</v>
      </c>
      <c r="L24" s="126">
        <f t="shared" si="3"/>
        <v>227700</v>
      </c>
      <c r="M24" s="123">
        <v>0</v>
      </c>
      <c r="N24" s="126">
        <f t="shared" si="4"/>
        <v>0</v>
      </c>
      <c r="O24" s="126">
        <f t="shared" si="5"/>
        <v>0</v>
      </c>
      <c r="P24" s="126">
        <f t="shared" si="0"/>
        <v>0</v>
      </c>
      <c r="Q24" s="125">
        <v>0</v>
      </c>
    </row>
    <row r="25" spans="1:17" ht="22.5" customHeight="1">
      <c r="A25" s="123">
        <v>202210</v>
      </c>
      <c r="B25" s="124">
        <v>44840</v>
      </c>
      <c r="C25" s="123" t="s">
        <v>48</v>
      </c>
      <c r="D25" s="123">
        <v>81185135720</v>
      </c>
      <c r="E25" s="123">
        <v>200</v>
      </c>
      <c r="F25" s="137">
        <f t="shared" si="1"/>
        <v>53981.544999999998</v>
      </c>
      <c r="G25" s="125">
        <v>10796309</v>
      </c>
      <c r="H25" s="125">
        <v>10796000</v>
      </c>
      <c r="I25" s="125">
        <v>1079400</v>
      </c>
      <c r="J25" s="125">
        <v>0</v>
      </c>
      <c r="K25" s="126">
        <f t="shared" si="2"/>
        <v>842000</v>
      </c>
      <c r="L25" s="126">
        <f t="shared" si="3"/>
        <v>237400</v>
      </c>
      <c r="M25" s="123">
        <v>200</v>
      </c>
      <c r="N25" s="126">
        <f t="shared" si="4"/>
        <v>10796000</v>
      </c>
      <c r="O25" s="126">
        <f t="shared" si="5"/>
        <v>842000</v>
      </c>
      <c r="P25" s="126">
        <f t="shared" si="0"/>
        <v>237400</v>
      </c>
      <c r="Q25" s="125">
        <v>1079400</v>
      </c>
    </row>
    <row r="26" spans="1:17" ht="22.5" hidden="1" customHeight="1">
      <c r="A26" s="123">
        <v>202210</v>
      </c>
      <c r="B26" s="124">
        <v>44841</v>
      </c>
      <c r="C26" s="123" t="s">
        <v>48</v>
      </c>
      <c r="D26" s="123">
        <v>81185188660</v>
      </c>
      <c r="E26" s="123">
        <v>152.31</v>
      </c>
      <c r="F26" s="137">
        <f t="shared" si="1"/>
        <v>63347.47554329985</v>
      </c>
      <c r="G26" s="125">
        <v>9648454</v>
      </c>
      <c r="H26" s="125">
        <v>9648000</v>
      </c>
      <c r="I26" s="125">
        <v>964700</v>
      </c>
      <c r="J26" s="125">
        <v>0</v>
      </c>
      <c r="K26" s="126">
        <f t="shared" si="2"/>
        <v>752500</v>
      </c>
      <c r="L26" s="126">
        <f t="shared" si="3"/>
        <v>212200</v>
      </c>
      <c r="M26" s="123">
        <v>0</v>
      </c>
      <c r="N26" s="126">
        <f t="shared" si="4"/>
        <v>0</v>
      </c>
      <c r="O26" s="126">
        <f t="shared" si="5"/>
        <v>0</v>
      </c>
      <c r="P26" s="126">
        <f t="shared" si="0"/>
        <v>0</v>
      </c>
      <c r="Q26" s="125">
        <v>0</v>
      </c>
    </row>
    <row r="27" spans="1:17" ht="22.5" hidden="1" customHeight="1">
      <c r="A27" s="123">
        <v>202210</v>
      </c>
      <c r="B27" s="124">
        <v>44852</v>
      </c>
      <c r="C27" s="123" t="s">
        <v>48</v>
      </c>
      <c r="D27" s="123">
        <v>81185388640</v>
      </c>
      <c r="E27" s="123">
        <v>335.42</v>
      </c>
      <c r="F27" s="137">
        <f t="shared" si="1"/>
        <v>56423.311072684992</v>
      </c>
      <c r="G27" s="125">
        <v>18925507</v>
      </c>
      <c r="H27" s="125">
        <v>18925000</v>
      </c>
      <c r="I27" s="125">
        <v>1892400</v>
      </c>
      <c r="J27" s="125">
        <v>0</v>
      </c>
      <c r="K27" s="126">
        <f t="shared" si="2"/>
        <v>1476100</v>
      </c>
      <c r="L27" s="126">
        <f t="shared" si="3"/>
        <v>416300</v>
      </c>
      <c r="M27" s="123">
        <v>0</v>
      </c>
      <c r="N27" s="126">
        <f t="shared" si="4"/>
        <v>0</v>
      </c>
      <c r="O27" s="126">
        <f t="shared" si="5"/>
        <v>0</v>
      </c>
      <c r="P27" s="126">
        <f t="shared" si="0"/>
        <v>0</v>
      </c>
      <c r="Q27" s="125">
        <v>0</v>
      </c>
    </row>
    <row r="28" spans="1:17" ht="22.5" hidden="1" customHeight="1">
      <c r="A28" s="123">
        <v>202210</v>
      </c>
      <c r="B28" s="124">
        <v>44855</v>
      </c>
      <c r="C28" s="123" t="s">
        <v>48</v>
      </c>
      <c r="D28" s="123">
        <v>81185477320</v>
      </c>
      <c r="E28" s="123">
        <v>350</v>
      </c>
      <c r="F28" s="137">
        <f t="shared" si="1"/>
        <v>54291.851428571426</v>
      </c>
      <c r="G28" s="125">
        <v>19002148</v>
      </c>
      <c r="H28" s="125">
        <v>19002000</v>
      </c>
      <c r="I28" s="125">
        <v>1900100</v>
      </c>
      <c r="J28" s="125">
        <v>0</v>
      </c>
      <c r="K28" s="126">
        <f t="shared" si="2"/>
        <v>1482100</v>
      </c>
      <c r="L28" s="126">
        <f t="shared" si="3"/>
        <v>418000</v>
      </c>
      <c r="M28" s="123">
        <v>0</v>
      </c>
      <c r="N28" s="126">
        <f t="shared" si="4"/>
        <v>0</v>
      </c>
      <c r="O28" s="126">
        <f t="shared" si="5"/>
        <v>0</v>
      </c>
      <c r="P28" s="126">
        <f t="shared" si="0"/>
        <v>0</v>
      </c>
      <c r="Q28" s="125">
        <v>0</v>
      </c>
    </row>
    <row r="29" spans="1:17" ht="22.5" customHeight="1">
      <c r="A29" s="123">
        <v>202210</v>
      </c>
      <c r="B29" s="124">
        <v>44855</v>
      </c>
      <c r="C29" s="123" t="s">
        <v>13</v>
      </c>
      <c r="D29" s="123">
        <v>81185476400</v>
      </c>
      <c r="E29" s="123">
        <f>1000+900+830</f>
        <v>2730</v>
      </c>
      <c r="F29" s="137">
        <f t="shared" si="1"/>
        <v>49830.842124542127</v>
      </c>
      <c r="G29" s="125">
        <v>136038199</v>
      </c>
      <c r="H29" s="125">
        <v>136038000</v>
      </c>
      <c r="I29" s="125">
        <v>13603700</v>
      </c>
      <c r="J29" s="125">
        <v>0</v>
      </c>
      <c r="K29" s="126">
        <f t="shared" si="2"/>
        <v>10610900</v>
      </c>
      <c r="L29" s="126">
        <f t="shared" si="3"/>
        <v>2992800</v>
      </c>
      <c r="M29" s="123">
        <v>830</v>
      </c>
      <c r="N29" s="126">
        <f t="shared" si="4"/>
        <v>41359500</v>
      </c>
      <c r="O29" s="126">
        <f t="shared" si="5"/>
        <v>3226000</v>
      </c>
      <c r="P29" s="126">
        <f t="shared" si="0"/>
        <v>909900</v>
      </c>
      <c r="Q29" s="125">
        <v>4135900</v>
      </c>
    </row>
    <row r="30" spans="1:17" ht="22.5" hidden="1" customHeight="1">
      <c r="A30" s="123">
        <v>202211</v>
      </c>
      <c r="B30" s="124">
        <v>44867</v>
      </c>
      <c r="C30" s="123" t="s">
        <v>48</v>
      </c>
      <c r="D30" s="123">
        <v>81185678810</v>
      </c>
      <c r="E30" s="123">
        <v>525</v>
      </c>
      <c r="F30" s="137">
        <f t="shared" si="1"/>
        <v>64742.449523809526</v>
      </c>
      <c r="G30" s="125">
        <v>33989786</v>
      </c>
      <c r="H30" s="125">
        <v>33989000</v>
      </c>
      <c r="I30" s="125">
        <v>3398800</v>
      </c>
      <c r="J30" s="125">
        <v>0</v>
      </c>
      <c r="K30" s="126">
        <f t="shared" si="2"/>
        <v>2651100</v>
      </c>
      <c r="L30" s="126">
        <f t="shared" si="3"/>
        <v>747700</v>
      </c>
      <c r="M30" s="123">
        <v>0</v>
      </c>
      <c r="N30" s="126">
        <f t="shared" si="4"/>
        <v>0</v>
      </c>
      <c r="O30" s="126">
        <f t="shared" si="5"/>
        <v>0</v>
      </c>
      <c r="P30" s="126">
        <f t="shared" si="0"/>
        <v>0</v>
      </c>
      <c r="Q30" s="125">
        <v>0</v>
      </c>
    </row>
    <row r="31" spans="1:17" ht="22.5" hidden="1" customHeight="1">
      <c r="A31" s="123">
        <v>202211</v>
      </c>
      <c r="B31" s="124">
        <v>44880</v>
      </c>
      <c r="C31" s="123" t="s">
        <v>48</v>
      </c>
      <c r="D31" s="123">
        <v>81185941050</v>
      </c>
      <c r="E31" s="123">
        <v>1155</v>
      </c>
      <c r="F31" s="137">
        <f t="shared" si="1"/>
        <v>64222.397402597402</v>
      </c>
      <c r="G31" s="125">
        <v>74176869</v>
      </c>
      <c r="H31" s="125">
        <v>74176000</v>
      </c>
      <c r="I31" s="125">
        <v>7417500</v>
      </c>
      <c r="J31" s="125">
        <v>0</v>
      </c>
      <c r="K31" s="126">
        <f t="shared" si="2"/>
        <v>5785700</v>
      </c>
      <c r="L31" s="126">
        <f t="shared" si="3"/>
        <v>1631800</v>
      </c>
      <c r="M31" s="123">
        <v>0</v>
      </c>
      <c r="N31" s="126">
        <f t="shared" si="4"/>
        <v>0</v>
      </c>
      <c r="O31" s="126">
        <f t="shared" si="5"/>
        <v>0</v>
      </c>
      <c r="P31" s="126">
        <f t="shared" si="0"/>
        <v>0</v>
      </c>
      <c r="Q31" s="125">
        <v>0</v>
      </c>
    </row>
    <row r="32" spans="1:17" ht="22.5" customHeight="1">
      <c r="A32" s="123">
        <v>202211</v>
      </c>
      <c r="B32" s="124">
        <v>44882</v>
      </c>
      <c r="C32" s="123" t="s">
        <v>13</v>
      </c>
      <c r="D32" s="123">
        <v>81185997420</v>
      </c>
      <c r="E32" s="123">
        <v>890</v>
      </c>
      <c r="F32" s="137">
        <f t="shared" si="1"/>
        <v>51791.283146067413</v>
      </c>
      <c r="G32" s="125">
        <v>46094242</v>
      </c>
      <c r="H32" s="125">
        <v>46094000</v>
      </c>
      <c r="I32" s="125">
        <v>4609300</v>
      </c>
      <c r="J32" s="125">
        <v>0</v>
      </c>
      <c r="K32" s="126">
        <f t="shared" si="2"/>
        <v>3595300</v>
      </c>
      <c r="L32" s="126">
        <f t="shared" si="3"/>
        <v>1014000</v>
      </c>
      <c r="M32" s="123">
        <v>490</v>
      </c>
      <c r="N32" s="126">
        <f t="shared" si="4"/>
        <v>25377600</v>
      </c>
      <c r="O32" s="126">
        <f t="shared" si="5"/>
        <v>1979400</v>
      </c>
      <c r="P32" s="126">
        <f t="shared" si="0"/>
        <v>558300</v>
      </c>
      <c r="Q32" s="125">
        <v>2537700</v>
      </c>
    </row>
    <row r="33" spans="1:17" ht="22.5" customHeight="1">
      <c r="A33" s="123">
        <v>202211</v>
      </c>
      <c r="B33" s="124">
        <v>44889</v>
      </c>
      <c r="C33" s="123" t="s">
        <v>48</v>
      </c>
      <c r="D33" s="123">
        <v>81186095530</v>
      </c>
      <c r="E33" s="123">
        <v>367.5</v>
      </c>
      <c r="F33" s="137">
        <f t="shared" si="1"/>
        <v>56829.771428571432</v>
      </c>
      <c r="G33" s="125">
        <v>20884941</v>
      </c>
      <c r="H33" s="125">
        <v>20884000</v>
      </c>
      <c r="I33" s="125">
        <v>2088300</v>
      </c>
      <c r="J33" s="125">
        <v>0</v>
      </c>
      <c r="K33" s="126">
        <f t="shared" si="2"/>
        <v>1628900</v>
      </c>
      <c r="L33" s="126">
        <f t="shared" si="3"/>
        <v>459400</v>
      </c>
      <c r="M33" s="123">
        <v>367.5</v>
      </c>
      <c r="N33" s="126">
        <f t="shared" si="4"/>
        <v>20884000</v>
      </c>
      <c r="O33" s="126">
        <f t="shared" si="5"/>
        <v>1628900</v>
      </c>
      <c r="P33" s="126">
        <f t="shared" si="0"/>
        <v>459400</v>
      </c>
      <c r="Q33" s="125">
        <v>2088300</v>
      </c>
    </row>
    <row r="34" spans="1:17" ht="22.5" hidden="1" customHeight="1">
      <c r="A34" s="123">
        <v>202211</v>
      </c>
      <c r="B34" s="124">
        <v>44890</v>
      </c>
      <c r="C34" s="123" t="s">
        <v>13</v>
      </c>
      <c r="D34" s="123">
        <v>81186146300</v>
      </c>
      <c r="E34" s="123">
        <v>260</v>
      </c>
      <c r="F34" s="137">
        <f t="shared" si="1"/>
        <v>49735.99615384615</v>
      </c>
      <c r="G34" s="125">
        <v>12931359</v>
      </c>
      <c r="H34" s="125">
        <v>12931000</v>
      </c>
      <c r="I34" s="125">
        <v>1293000</v>
      </c>
      <c r="J34" s="125">
        <v>0</v>
      </c>
      <c r="K34" s="126">
        <f t="shared" si="2"/>
        <v>1008600</v>
      </c>
      <c r="L34" s="126">
        <f t="shared" si="3"/>
        <v>284400</v>
      </c>
      <c r="M34" s="123">
        <v>0</v>
      </c>
      <c r="N34" s="126">
        <f t="shared" si="4"/>
        <v>0</v>
      </c>
      <c r="O34" s="126">
        <f t="shared" si="5"/>
        <v>0</v>
      </c>
      <c r="P34" s="126">
        <f t="shared" si="0"/>
        <v>0</v>
      </c>
      <c r="Q34" s="125">
        <v>0</v>
      </c>
    </row>
    <row r="35" spans="1:17" ht="22.5" hidden="1" customHeight="1">
      <c r="A35" s="123">
        <v>202211</v>
      </c>
      <c r="B35" s="124">
        <v>44895</v>
      </c>
      <c r="C35" s="123" t="s">
        <v>48</v>
      </c>
      <c r="D35" s="123">
        <v>81186228530</v>
      </c>
      <c r="E35" s="123">
        <v>750</v>
      </c>
      <c r="F35" s="137">
        <f t="shared" si="1"/>
        <v>60599.349333333332</v>
      </c>
      <c r="G35" s="125">
        <v>45449512</v>
      </c>
      <c r="H35" s="125">
        <v>45449000</v>
      </c>
      <c r="I35" s="125">
        <v>4544800</v>
      </c>
      <c r="J35" s="125">
        <v>0</v>
      </c>
      <c r="K35" s="126">
        <f t="shared" si="2"/>
        <v>3545000</v>
      </c>
      <c r="L35" s="126">
        <f t="shared" si="3"/>
        <v>999800</v>
      </c>
      <c r="M35" s="123">
        <v>0</v>
      </c>
      <c r="N35" s="126">
        <f t="shared" si="4"/>
        <v>0</v>
      </c>
      <c r="O35" s="126">
        <f t="shared" si="5"/>
        <v>0</v>
      </c>
      <c r="P35" s="126">
        <f t="shared" si="0"/>
        <v>0</v>
      </c>
      <c r="Q35" s="125">
        <v>0</v>
      </c>
    </row>
    <row r="36" spans="1:17" ht="22.5" customHeight="1">
      <c r="A36" s="123">
        <v>202212</v>
      </c>
      <c r="B36" s="124">
        <v>44900</v>
      </c>
      <c r="C36" s="123" t="s">
        <v>13</v>
      </c>
      <c r="D36" s="123">
        <v>81186297610</v>
      </c>
      <c r="E36" s="123">
        <v>2090</v>
      </c>
      <c r="F36" s="137">
        <f t="shared" si="1"/>
        <v>47859.807655502394</v>
      </c>
      <c r="G36" s="125">
        <v>100026998</v>
      </c>
      <c r="H36" s="125">
        <v>100026000</v>
      </c>
      <c r="I36" s="125">
        <v>10002500</v>
      </c>
      <c r="J36" s="125">
        <v>0</v>
      </c>
      <c r="K36" s="126">
        <f t="shared" si="2"/>
        <v>7802000</v>
      </c>
      <c r="L36" s="126">
        <f t="shared" si="3"/>
        <v>2200500</v>
      </c>
      <c r="M36" s="123">
        <v>450</v>
      </c>
      <c r="N36" s="126">
        <f t="shared" si="4"/>
        <v>21536700</v>
      </c>
      <c r="O36" s="126">
        <f t="shared" si="5"/>
        <v>1679800</v>
      </c>
      <c r="P36" s="126">
        <f t="shared" si="0"/>
        <v>473800</v>
      </c>
      <c r="Q36" s="125">
        <v>2153600</v>
      </c>
    </row>
    <row r="37" spans="1:17" ht="22.5" customHeight="1">
      <c r="A37" s="123">
        <v>202212</v>
      </c>
      <c r="B37" s="124">
        <v>44907</v>
      </c>
      <c r="C37" s="123" t="s">
        <v>13</v>
      </c>
      <c r="D37" s="123">
        <v>81186436320</v>
      </c>
      <c r="E37" s="123">
        <v>800</v>
      </c>
      <c r="F37" s="137">
        <f t="shared" si="1"/>
        <v>47047.46875</v>
      </c>
      <c r="G37" s="125">
        <v>37637975</v>
      </c>
      <c r="H37" s="125">
        <v>37637000</v>
      </c>
      <c r="I37" s="125">
        <v>3763500</v>
      </c>
      <c r="J37" s="125">
        <v>0</v>
      </c>
      <c r="K37" s="126">
        <f t="shared" si="2"/>
        <v>2935600</v>
      </c>
      <c r="L37" s="126">
        <f t="shared" si="3"/>
        <v>827900</v>
      </c>
      <c r="M37" s="123">
        <v>800</v>
      </c>
      <c r="N37" s="126">
        <f t="shared" si="4"/>
        <v>37637000</v>
      </c>
      <c r="O37" s="126">
        <f t="shared" si="5"/>
        <v>2935600</v>
      </c>
      <c r="P37" s="126">
        <f t="shared" si="0"/>
        <v>827900</v>
      </c>
      <c r="Q37" s="125">
        <v>3763500</v>
      </c>
    </row>
    <row r="38" spans="1:17" ht="22.5" hidden="1" customHeight="1">
      <c r="A38" s="123">
        <v>202212</v>
      </c>
      <c r="B38" s="124">
        <v>44923</v>
      </c>
      <c r="C38" s="123" t="s">
        <v>13</v>
      </c>
      <c r="D38" s="123">
        <v>81186728660</v>
      </c>
      <c r="E38" s="123">
        <v>900</v>
      </c>
      <c r="F38" s="137">
        <f t="shared" si="1"/>
        <v>50947.186666666668</v>
      </c>
      <c r="G38" s="125">
        <v>45852468</v>
      </c>
      <c r="H38" s="125">
        <v>45852000</v>
      </c>
      <c r="I38" s="125">
        <v>4585100</v>
      </c>
      <c r="J38" s="125">
        <v>0</v>
      </c>
      <c r="K38" s="126">
        <f t="shared" si="2"/>
        <v>3576400</v>
      </c>
      <c r="L38" s="126">
        <f t="shared" si="3"/>
        <v>1008700</v>
      </c>
      <c r="M38" s="123">
        <v>0</v>
      </c>
      <c r="N38" s="126">
        <f t="shared" si="4"/>
        <v>0</v>
      </c>
      <c r="O38" s="126">
        <f t="shared" si="5"/>
        <v>0</v>
      </c>
      <c r="P38" s="126">
        <f t="shared" si="0"/>
        <v>0</v>
      </c>
      <c r="Q38" s="125">
        <v>0</v>
      </c>
    </row>
    <row r="39" spans="1:17" ht="22.5" hidden="1" customHeight="1">
      <c r="A39" s="123">
        <v>202301</v>
      </c>
      <c r="B39" s="124">
        <v>44936</v>
      </c>
      <c r="C39" s="123" t="s">
        <v>13</v>
      </c>
      <c r="D39" s="123">
        <v>81186816640</v>
      </c>
      <c r="E39" s="123">
        <v>400</v>
      </c>
      <c r="F39" s="137">
        <f t="shared" si="1"/>
        <v>49684.8825</v>
      </c>
      <c r="G39" s="125">
        <v>19873953</v>
      </c>
      <c r="H39" s="125">
        <v>19873000</v>
      </c>
      <c r="I39" s="125">
        <v>1987100</v>
      </c>
      <c r="J39" s="125">
        <v>0</v>
      </c>
      <c r="K39" s="126">
        <f t="shared" si="2"/>
        <v>1550000</v>
      </c>
      <c r="L39" s="126">
        <f t="shared" si="3"/>
        <v>437100</v>
      </c>
      <c r="M39" s="123">
        <v>0</v>
      </c>
      <c r="N39" s="126">
        <f t="shared" si="4"/>
        <v>0</v>
      </c>
      <c r="O39" s="126">
        <f t="shared" si="5"/>
        <v>0</v>
      </c>
      <c r="P39" s="126">
        <f t="shared" si="0"/>
        <v>0</v>
      </c>
      <c r="Q39" s="125">
        <v>0</v>
      </c>
    </row>
    <row r="40" spans="1:17" ht="22.5" customHeight="1">
      <c r="A40" s="123">
        <v>202301</v>
      </c>
      <c r="B40" s="124">
        <v>44950</v>
      </c>
      <c r="C40" s="123" t="s">
        <v>48</v>
      </c>
      <c r="D40" s="123">
        <v>81187133040</v>
      </c>
      <c r="E40" s="123">
        <v>346.5</v>
      </c>
      <c r="F40" s="137">
        <f t="shared" si="1"/>
        <v>43389.468975468975</v>
      </c>
      <c r="G40" s="125">
        <v>15034451</v>
      </c>
      <c r="H40" s="125">
        <v>15034000</v>
      </c>
      <c r="I40" s="125">
        <v>1503300</v>
      </c>
      <c r="J40" s="125">
        <v>0</v>
      </c>
      <c r="K40" s="126">
        <f t="shared" si="2"/>
        <v>1172600</v>
      </c>
      <c r="L40" s="126">
        <f t="shared" si="3"/>
        <v>330700</v>
      </c>
      <c r="M40" s="123">
        <v>346.5</v>
      </c>
      <c r="N40" s="126">
        <f t="shared" si="4"/>
        <v>15034000</v>
      </c>
      <c r="O40" s="126">
        <f t="shared" si="5"/>
        <v>1172600</v>
      </c>
      <c r="P40" s="126">
        <f t="shared" si="0"/>
        <v>330700</v>
      </c>
      <c r="Q40" s="125">
        <v>1503300</v>
      </c>
    </row>
    <row r="41" spans="1:17" ht="22.5" customHeight="1">
      <c r="A41" s="123">
        <v>202301</v>
      </c>
      <c r="B41" s="124">
        <v>44950</v>
      </c>
      <c r="C41" s="123" t="s">
        <v>13</v>
      </c>
      <c r="D41" s="123">
        <v>81187140630</v>
      </c>
      <c r="E41" s="123">
        <v>2825</v>
      </c>
      <c r="F41" s="137">
        <f t="shared" si="1"/>
        <v>47403.008849557526</v>
      </c>
      <c r="G41" s="125">
        <v>133913500</v>
      </c>
      <c r="H41" s="125">
        <v>133913000</v>
      </c>
      <c r="I41" s="125">
        <v>13391200</v>
      </c>
      <c r="J41" s="125">
        <v>0</v>
      </c>
      <c r="K41" s="126">
        <f t="shared" si="2"/>
        <v>10445200</v>
      </c>
      <c r="L41" s="126">
        <f t="shared" si="3"/>
        <v>2946000</v>
      </c>
      <c r="M41" s="123">
        <v>725</v>
      </c>
      <c r="N41" s="126">
        <f t="shared" si="4"/>
        <v>34367100</v>
      </c>
      <c r="O41" s="126">
        <f t="shared" si="5"/>
        <v>2680600</v>
      </c>
      <c r="P41" s="126">
        <f t="shared" si="0"/>
        <v>756100</v>
      </c>
      <c r="Q41" s="125">
        <v>3436700</v>
      </c>
    </row>
    <row r="42" spans="1:17" ht="22.5" hidden="1" customHeight="1">
      <c r="A42" s="123">
        <v>202302</v>
      </c>
      <c r="B42" s="124">
        <v>44970</v>
      </c>
      <c r="C42" s="123" t="s">
        <v>48</v>
      </c>
      <c r="D42" s="123">
        <v>81187473350</v>
      </c>
      <c r="E42" s="123">
        <v>350</v>
      </c>
      <c r="F42" s="137">
        <f t="shared" si="1"/>
        <v>41980.894285714283</v>
      </c>
      <c r="G42" s="125">
        <v>14693313</v>
      </c>
      <c r="H42" s="125">
        <v>14693000</v>
      </c>
      <c r="I42" s="125">
        <v>1469200</v>
      </c>
      <c r="J42" s="125">
        <v>0</v>
      </c>
      <c r="K42" s="126">
        <f t="shared" si="2"/>
        <v>1146000</v>
      </c>
      <c r="L42" s="126">
        <f t="shared" si="3"/>
        <v>323200</v>
      </c>
      <c r="M42" s="123">
        <v>0</v>
      </c>
      <c r="N42" s="126">
        <f t="shared" si="4"/>
        <v>0</v>
      </c>
      <c r="O42" s="126">
        <f t="shared" si="5"/>
        <v>0</v>
      </c>
      <c r="P42" s="126">
        <f t="shared" si="0"/>
        <v>0</v>
      </c>
      <c r="Q42" s="125">
        <v>0</v>
      </c>
    </row>
    <row r="43" spans="1:17" ht="22.5" hidden="1" customHeight="1">
      <c r="A43" s="123">
        <v>202302</v>
      </c>
      <c r="B43" s="124">
        <v>44970</v>
      </c>
      <c r="C43" s="123" t="s">
        <v>48</v>
      </c>
      <c r="D43" s="123">
        <v>81187473460</v>
      </c>
      <c r="E43" s="123">
        <v>349.9</v>
      </c>
      <c r="F43" s="137">
        <f t="shared" si="1"/>
        <v>41992.840811660477</v>
      </c>
      <c r="G43" s="125">
        <v>14693295</v>
      </c>
      <c r="H43" s="125">
        <v>14693000</v>
      </c>
      <c r="I43" s="125">
        <v>1469200</v>
      </c>
      <c r="J43" s="125">
        <v>0</v>
      </c>
      <c r="K43" s="126">
        <f t="shared" si="2"/>
        <v>1146000</v>
      </c>
      <c r="L43" s="126">
        <f t="shared" si="3"/>
        <v>323200</v>
      </c>
      <c r="M43" s="123">
        <v>0</v>
      </c>
      <c r="N43" s="126">
        <f t="shared" si="4"/>
        <v>0</v>
      </c>
      <c r="O43" s="126">
        <f t="shared" si="5"/>
        <v>0</v>
      </c>
      <c r="P43" s="126">
        <f t="shared" si="0"/>
        <v>0</v>
      </c>
      <c r="Q43" s="125">
        <v>0</v>
      </c>
    </row>
    <row r="44" spans="1:17" ht="22.5" customHeight="1">
      <c r="A44" s="123">
        <v>202302</v>
      </c>
      <c r="B44" s="124">
        <v>44978</v>
      </c>
      <c r="C44" s="123" t="s">
        <v>13</v>
      </c>
      <c r="D44" s="123">
        <v>81187603330</v>
      </c>
      <c r="E44" s="123">
        <v>2070</v>
      </c>
      <c r="F44" s="137">
        <f t="shared" si="1"/>
        <v>45489.384057971016</v>
      </c>
      <c r="G44" s="125">
        <v>94163025</v>
      </c>
      <c r="H44" s="125">
        <v>94163000</v>
      </c>
      <c r="I44" s="125">
        <v>9416200</v>
      </c>
      <c r="J44" s="125">
        <v>0</v>
      </c>
      <c r="K44" s="126">
        <f t="shared" si="2"/>
        <v>7344700</v>
      </c>
      <c r="L44" s="126">
        <f t="shared" si="3"/>
        <v>2071500</v>
      </c>
      <c r="M44" s="123">
        <v>770</v>
      </c>
      <c r="N44" s="126">
        <f t="shared" si="4"/>
        <v>35026800</v>
      </c>
      <c r="O44" s="126">
        <f t="shared" si="5"/>
        <v>2732000</v>
      </c>
      <c r="P44" s="126">
        <f t="shared" si="0"/>
        <v>770600</v>
      </c>
      <c r="Q44" s="125">
        <v>3502600</v>
      </c>
    </row>
    <row r="45" spans="1:17" ht="22.5" hidden="1" customHeight="1">
      <c r="A45" s="123">
        <v>202302</v>
      </c>
      <c r="B45" s="124">
        <v>44979</v>
      </c>
      <c r="C45" s="123" t="s">
        <v>48</v>
      </c>
      <c r="D45" s="123">
        <v>81187638660</v>
      </c>
      <c r="E45" s="123">
        <v>249.69</v>
      </c>
      <c r="F45" s="137">
        <f t="shared" si="1"/>
        <v>44736.777604229246</v>
      </c>
      <c r="G45" s="125">
        <v>11170326</v>
      </c>
      <c r="H45" s="125">
        <v>11170000</v>
      </c>
      <c r="I45" s="125">
        <v>1116900</v>
      </c>
      <c r="J45" s="125">
        <v>0</v>
      </c>
      <c r="K45" s="126">
        <f t="shared" si="2"/>
        <v>871200</v>
      </c>
      <c r="L45" s="126">
        <f t="shared" si="3"/>
        <v>245700</v>
      </c>
      <c r="M45" s="123">
        <v>0</v>
      </c>
      <c r="N45" s="126">
        <f t="shared" si="4"/>
        <v>0</v>
      </c>
      <c r="O45" s="126">
        <f t="shared" si="5"/>
        <v>0</v>
      </c>
      <c r="P45" s="126">
        <f t="shared" si="0"/>
        <v>0</v>
      </c>
      <c r="Q45" s="125">
        <v>0</v>
      </c>
    </row>
    <row r="46" spans="1:17" ht="22.5" hidden="1" customHeight="1">
      <c r="A46" s="123">
        <v>202302</v>
      </c>
      <c r="B46" s="124">
        <v>44985</v>
      </c>
      <c r="C46" s="123" t="s">
        <v>48</v>
      </c>
      <c r="D46" s="123">
        <v>81187720230</v>
      </c>
      <c r="E46" s="123">
        <v>300</v>
      </c>
      <c r="F46" s="137">
        <f t="shared" si="1"/>
        <v>45150.916666666664</v>
      </c>
      <c r="G46" s="125">
        <v>13545275</v>
      </c>
      <c r="H46" s="125">
        <v>13545000</v>
      </c>
      <c r="I46" s="125">
        <v>1354400</v>
      </c>
      <c r="J46" s="125">
        <v>0</v>
      </c>
      <c r="K46" s="126">
        <f t="shared" si="2"/>
        <v>1056500</v>
      </c>
      <c r="L46" s="126">
        <f t="shared" si="3"/>
        <v>297900</v>
      </c>
      <c r="M46" s="123">
        <v>0</v>
      </c>
      <c r="N46" s="126">
        <f t="shared" si="4"/>
        <v>0</v>
      </c>
      <c r="O46" s="126">
        <f t="shared" si="5"/>
        <v>0</v>
      </c>
      <c r="P46" s="126">
        <f t="shared" si="0"/>
        <v>0</v>
      </c>
      <c r="Q46" s="125">
        <v>0</v>
      </c>
    </row>
    <row r="47" spans="1:17" ht="22.5" customHeight="1">
      <c r="A47" s="123">
        <v>202303</v>
      </c>
      <c r="B47" s="124">
        <v>45008</v>
      </c>
      <c r="C47" s="123" t="s">
        <v>13</v>
      </c>
      <c r="D47" s="123">
        <v>81188189930</v>
      </c>
      <c r="E47" s="123">
        <v>2160</v>
      </c>
      <c r="F47" s="137">
        <f t="shared" si="1"/>
        <v>47492.174537037034</v>
      </c>
      <c r="G47" s="125">
        <v>102583097</v>
      </c>
      <c r="H47" s="125">
        <v>102583000</v>
      </c>
      <c r="I47" s="125">
        <v>10258200</v>
      </c>
      <c r="J47" s="125">
        <v>0</v>
      </c>
      <c r="K47" s="126">
        <f t="shared" si="2"/>
        <v>8001400</v>
      </c>
      <c r="L47" s="126">
        <f t="shared" si="3"/>
        <v>2256800</v>
      </c>
      <c r="M47" s="123">
        <v>860</v>
      </c>
      <c r="N47" s="126">
        <f t="shared" si="4"/>
        <v>40843200</v>
      </c>
      <c r="O47" s="126">
        <f t="shared" si="5"/>
        <v>3185700</v>
      </c>
      <c r="P47" s="126">
        <f t="shared" si="0"/>
        <v>898600</v>
      </c>
      <c r="Q47" s="125">
        <v>4084300</v>
      </c>
    </row>
    <row r="48" spans="1:17" ht="22.5" hidden="1" customHeight="1">
      <c r="A48" s="123">
        <v>202303</v>
      </c>
      <c r="B48" s="124">
        <v>45012</v>
      </c>
      <c r="C48" s="123" t="s">
        <v>48</v>
      </c>
      <c r="D48" s="123">
        <v>81188214540</v>
      </c>
      <c r="E48" s="123">
        <v>100</v>
      </c>
      <c r="F48" s="137">
        <f t="shared" si="1"/>
        <v>46186.63</v>
      </c>
      <c r="G48" s="125">
        <v>4618663</v>
      </c>
      <c r="H48" s="125">
        <v>4618000</v>
      </c>
      <c r="I48" s="125">
        <v>461700</v>
      </c>
      <c r="J48" s="125">
        <v>0</v>
      </c>
      <c r="K48" s="126">
        <f t="shared" si="2"/>
        <v>360200</v>
      </c>
      <c r="L48" s="126">
        <f t="shared" si="3"/>
        <v>101500</v>
      </c>
      <c r="M48" s="123">
        <v>0</v>
      </c>
      <c r="N48" s="126">
        <f t="shared" si="4"/>
        <v>0</v>
      </c>
      <c r="O48" s="126">
        <f t="shared" si="5"/>
        <v>0</v>
      </c>
      <c r="P48" s="126">
        <f t="shared" si="0"/>
        <v>0</v>
      </c>
      <c r="Q48" s="125">
        <v>0</v>
      </c>
    </row>
    <row r="49" spans="1:17" ht="22.5" customHeight="1">
      <c r="A49" s="123">
        <v>202303</v>
      </c>
      <c r="B49" s="124">
        <v>45016</v>
      </c>
      <c r="C49" s="123" t="s">
        <v>48</v>
      </c>
      <c r="D49" s="123">
        <v>81188338700</v>
      </c>
      <c r="E49" s="123">
        <v>420</v>
      </c>
      <c r="F49" s="137">
        <f t="shared" si="1"/>
        <v>42098.169047619049</v>
      </c>
      <c r="G49" s="125">
        <v>17681231</v>
      </c>
      <c r="H49" s="125">
        <v>17681000</v>
      </c>
      <c r="I49" s="125">
        <v>1768000</v>
      </c>
      <c r="J49" s="125">
        <v>0</v>
      </c>
      <c r="K49" s="126">
        <f t="shared" si="2"/>
        <v>1379100</v>
      </c>
      <c r="L49" s="126">
        <f t="shared" si="3"/>
        <v>388900</v>
      </c>
      <c r="M49" s="123">
        <v>420</v>
      </c>
      <c r="N49" s="126">
        <f t="shared" si="4"/>
        <v>17681000</v>
      </c>
      <c r="O49" s="126">
        <f t="shared" si="5"/>
        <v>1379100</v>
      </c>
      <c r="P49" s="126">
        <f t="shared" si="0"/>
        <v>388900</v>
      </c>
      <c r="Q49" s="125">
        <v>1768000</v>
      </c>
    </row>
    <row r="50" spans="1:17" ht="22.5" hidden="1" customHeight="1">
      <c r="A50" s="123">
        <v>202303</v>
      </c>
      <c r="B50" s="124">
        <v>45016</v>
      </c>
      <c r="C50" s="123" t="s">
        <v>48</v>
      </c>
      <c r="D50" s="123">
        <v>81188338550</v>
      </c>
      <c r="E50" s="123">
        <v>1160</v>
      </c>
      <c r="F50" s="137">
        <f t="shared" si="1"/>
        <v>43534.885344827584</v>
      </c>
      <c r="G50" s="125">
        <v>50500467</v>
      </c>
      <c r="H50" s="125">
        <v>50500000</v>
      </c>
      <c r="I50" s="125">
        <v>5050000</v>
      </c>
      <c r="J50" s="125">
        <v>0</v>
      </c>
      <c r="K50" s="126">
        <f t="shared" si="2"/>
        <v>3939000</v>
      </c>
      <c r="L50" s="126">
        <f t="shared" si="3"/>
        <v>1111000</v>
      </c>
      <c r="M50" s="123">
        <v>0</v>
      </c>
      <c r="N50" s="126">
        <f t="shared" si="4"/>
        <v>0</v>
      </c>
      <c r="O50" s="126">
        <f t="shared" si="5"/>
        <v>0</v>
      </c>
      <c r="P50" s="126">
        <f t="shared" si="0"/>
        <v>0</v>
      </c>
      <c r="Q50" s="125">
        <v>0</v>
      </c>
    </row>
    <row r="51" spans="1:17" ht="22.5" hidden="1" customHeight="1">
      <c r="A51" s="123">
        <v>202303</v>
      </c>
      <c r="B51" s="124">
        <v>45016</v>
      </c>
      <c r="C51" s="123" t="s">
        <v>48</v>
      </c>
      <c r="D51" s="123">
        <v>81188338660</v>
      </c>
      <c r="E51" s="123">
        <v>700</v>
      </c>
      <c r="F51" s="137">
        <f t="shared" si="1"/>
        <v>42098.16857142857</v>
      </c>
      <c r="G51" s="125">
        <v>29468718</v>
      </c>
      <c r="H51" s="125">
        <v>29468000</v>
      </c>
      <c r="I51" s="125">
        <v>2946700</v>
      </c>
      <c r="J51" s="125">
        <v>0</v>
      </c>
      <c r="K51" s="126">
        <f t="shared" si="2"/>
        <v>2298500</v>
      </c>
      <c r="L51" s="126">
        <f t="shared" si="3"/>
        <v>648200</v>
      </c>
      <c r="M51" s="123">
        <v>0</v>
      </c>
      <c r="N51" s="126">
        <f t="shared" si="4"/>
        <v>0</v>
      </c>
      <c r="O51" s="126">
        <f t="shared" si="5"/>
        <v>0</v>
      </c>
      <c r="P51" s="126">
        <f t="shared" si="0"/>
        <v>0</v>
      </c>
      <c r="Q51" s="125">
        <v>0</v>
      </c>
    </row>
    <row r="52" spans="1:17" ht="29.25" customHeight="1">
      <c r="N52" s="127"/>
      <c r="O52" s="126">
        <f>SUM(O4:O51)</f>
        <v>47443700</v>
      </c>
      <c r="P52" s="126">
        <f>SUM(P4:P51)</f>
        <v>13381350</v>
      </c>
      <c r="Q52" s="125">
        <f>SUM(Q4:Q51)</f>
        <v>60825050</v>
      </c>
    </row>
  </sheetData>
  <autoFilter ref="A3:Q52" xr:uid="{7FF02D80-10B7-45F2-B0EC-AD9433041671}">
    <filterColumn colId="16">
      <filters>
        <filter val="1,079,400"/>
        <filter val="1,503,300"/>
        <filter val="1,577,500"/>
        <filter val="1,768,000"/>
        <filter val="1,872,400"/>
        <filter val="2,088,300"/>
        <filter val="2,153,600"/>
        <filter val="2,537,700"/>
        <filter val="3,436,700"/>
        <filter val="3,502,600"/>
        <filter val="3,677,100"/>
        <filter val="3,763,500"/>
        <filter val="4,084,300"/>
        <filter val="4,135,900"/>
        <filter val="4,443,700"/>
        <filter val="4,510,550"/>
        <filter val="5,994,600"/>
        <filter val="6,889,500"/>
        <filter val="60,825,050"/>
        <filter val="832,000"/>
        <filter val="974,400"/>
      </filters>
    </filterColumn>
  </autoFilter>
  <phoneticPr fontId="1"/>
  <pageMargins left="0.7" right="0.7" top="0.75" bottom="0.75" header="0.3" footer="0.3"/>
  <pageSetup paperSize="9" scale="68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2D80-10B7-45F2-B0EC-AD9433041671}">
  <sheetPr>
    <pageSetUpPr fitToPage="1"/>
  </sheetPr>
  <dimension ref="A3:Q53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F5" sqref="F5"/>
    </sheetView>
  </sheetViews>
  <sheetFormatPr defaultRowHeight="14.25"/>
  <cols>
    <col min="1" max="1" width="14.125" style="123" customWidth="1"/>
    <col min="2" max="2" width="13.25" style="124" bestFit="1" customWidth="1"/>
    <col min="3" max="3" width="9.5" style="123" customWidth="1"/>
    <col min="4" max="4" width="18" style="123" customWidth="1"/>
    <col min="5" max="5" width="11.625" style="123" customWidth="1"/>
    <col min="6" max="6" width="9.625" style="138" customWidth="1"/>
    <col min="7" max="8" width="14.375" style="125" customWidth="1"/>
    <col min="9" max="9" width="11" style="125" bestFit="1" customWidth="1"/>
    <col min="10" max="10" width="7" style="125" customWidth="1"/>
    <col min="11" max="11" width="12.875" style="125" customWidth="1"/>
    <col min="12" max="12" width="14.75" style="125" customWidth="1"/>
    <col min="13" max="13" width="11.375" style="123" customWidth="1"/>
    <col min="14" max="14" width="12" style="123" bestFit="1" customWidth="1"/>
    <col min="15" max="16" width="16.75" style="125" customWidth="1"/>
    <col min="17" max="17" width="11.625" style="125" bestFit="1" customWidth="1"/>
    <col min="18" max="16384" width="9" style="123"/>
  </cols>
  <sheetData>
    <row r="3" spans="1:17" s="128" customFormat="1" ht="74.25" customHeight="1">
      <c r="A3" s="128" t="s">
        <v>54</v>
      </c>
      <c r="B3" s="129" t="s">
        <v>85</v>
      </c>
      <c r="C3" s="128" t="s">
        <v>50</v>
      </c>
      <c r="D3" s="128" t="s">
        <v>51</v>
      </c>
      <c r="E3" s="130" t="s">
        <v>77</v>
      </c>
      <c r="F3" s="136" t="s">
        <v>94</v>
      </c>
      <c r="G3" s="131" t="s">
        <v>86</v>
      </c>
      <c r="H3" s="135" t="s">
        <v>93</v>
      </c>
      <c r="I3" s="131" t="s">
        <v>87</v>
      </c>
      <c r="J3" s="132" t="s">
        <v>88</v>
      </c>
      <c r="K3" s="131" t="s">
        <v>89</v>
      </c>
      <c r="L3" s="131" t="s">
        <v>90</v>
      </c>
      <c r="M3" s="133" t="s">
        <v>82</v>
      </c>
      <c r="N3" s="133" t="s">
        <v>83</v>
      </c>
      <c r="O3" s="134" t="s">
        <v>80</v>
      </c>
      <c r="P3" s="134" t="s">
        <v>81</v>
      </c>
      <c r="Q3" s="122" t="s">
        <v>84</v>
      </c>
    </row>
    <row r="4" spans="1:17" s="139" customFormat="1" ht="22.5" customHeight="1">
      <c r="A4" s="139">
        <v>202104</v>
      </c>
      <c r="B4" s="140">
        <v>44287</v>
      </c>
      <c r="C4" s="139" t="s">
        <v>91</v>
      </c>
      <c r="D4" s="139">
        <v>81173727450</v>
      </c>
      <c r="E4" s="139">
        <v>252</v>
      </c>
      <c r="F4" s="137">
        <f>G4/E4</f>
        <v>25424.761904761905</v>
      </c>
      <c r="G4" s="141">
        <v>6407040</v>
      </c>
      <c r="H4" s="141">
        <v>6407000</v>
      </c>
      <c r="I4" s="141">
        <v>640600</v>
      </c>
      <c r="J4" s="141">
        <v>0</v>
      </c>
      <c r="K4" s="142">
        <f>ROUNDDOWN(H4*7.8/100,-2)</f>
        <v>499700</v>
      </c>
      <c r="L4" s="142">
        <f>I4-K4</f>
        <v>140900</v>
      </c>
      <c r="M4" s="139">
        <v>252</v>
      </c>
      <c r="N4" s="142">
        <f>ROUND(H4/E4*M4,-2)</f>
        <v>6407000</v>
      </c>
      <c r="O4" s="142">
        <f>ROUNDDOWN(N4*7.8/100,-2)</f>
        <v>499700</v>
      </c>
      <c r="P4" s="142">
        <f t="shared" ref="P4:P30" si="0">Q4-O4</f>
        <v>140900</v>
      </c>
      <c r="Q4" s="141">
        <v>640600</v>
      </c>
    </row>
    <row r="5" spans="1:17" s="139" customFormat="1" ht="22.5" customHeight="1">
      <c r="A5" s="139">
        <v>202104</v>
      </c>
      <c r="B5" s="140">
        <v>44295</v>
      </c>
      <c r="C5" s="139" t="s">
        <v>92</v>
      </c>
      <c r="D5" s="139">
        <v>81173903850</v>
      </c>
      <c r="E5" s="139">
        <v>400</v>
      </c>
      <c r="F5" s="137">
        <f t="shared" ref="F5:F30" si="1">G5/E5</f>
        <v>33612.847500000003</v>
      </c>
      <c r="G5" s="141">
        <v>13445139</v>
      </c>
      <c r="H5" s="141">
        <v>13445000</v>
      </c>
      <c r="I5" s="141">
        <v>1344400</v>
      </c>
      <c r="J5" s="141">
        <v>0</v>
      </c>
      <c r="K5" s="142">
        <f t="shared" ref="K5:K30" si="2">ROUNDDOWN(H5*7.8/100,-2)</f>
        <v>1048700</v>
      </c>
      <c r="L5" s="142">
        <f t="shared" ref="L5:L30" si="3">I5-K5</f>
        <v>295700</v>
      </c>
      <c r="M5" s="139">
        <v>0</v>
      </c>
      <c r="N5" s="142">
        <f t="shared" ref="N5:N30" si="4">ROUND(H5/E5*M5,-2)</f>
        <v>0</v>
      </c>
      <c r="O5" s="142">
        <f t="shared" ref="O5:O30" si="5">ROUNDDOWN(N5*7.8/100,-2)</f>
        <v>0</v>
      </c>
      <c r="P5" s="142">
        <f t="shared" si="0"/>
        <v>0</v>
      </c>
      <c r="Q5" s="141">
        <v>0</v>
      </c>
    </row>
    <row r="6" spans="1:17" s="139" customFormat="1" ht="22.5" customHeight="1">
      <c r="A6" s="139">
        <v>202104</v>
      </c>
      <c r="B6" s="140">
        <v>44300</v>
      </c>
      <c r="C6" s="139" t="s">
        <v>91</v>
      </c>
      <c r="D6" s="139">
        <v>81174026830</v>
      </c>
      <c r="E6" s="139">
        <v>900.67</v>
      </c>
      <c r="F6" s="137">
        <f t="shared" si="1"/>
        <v>26271.376863890215</v>
      </c>
      <c r="G6" s="141">
        <v>23661841</v>
      </c>
      <c r="H6" s="141">
        <v>23661000</v>
      </c>
      <c r="I6" s="141">
        <v>2366000</v>
      </c>
      <c r="J6" s="141">
        <v>0</v>
      </c>
      <c r="K6" s="142">
        <f t="shared" si="2"/>
        <v>1845500</v>
      </c>
      <c r="L6" s="142">
        <f t="shared" si="3"/>
        <v>520500</v>
      </c>
      <c r="M6" s="139">
        <v>0</v>
      </c>
      <c r="N6" s="142">
        <f t="shared" si="4"/>
        <v>0</v>
      </c>
      <c r="O6" s="142">
        <f t="shared" si="5"/>
        <v>0</v>
      </c>
      <c r="P6" s="142">
        <f t="shared" si="0"/>
        <v>0</v>
      </c>
      <c r="Q6" s="141">
        <v>0</v>
      </c>
    </row>
    <row r="7" spans="1:17" s="139" customFormat="1" ht="22.5" customHeight="1">
      <c r="A7" s="139">
        <v>202104</v>
      </c>
      <c r="B7" s="140">
        <v>44301</v>
      </c>
      <c r="C7" s="139" t="s">
        <v>92</v>
      </c>
      <c r="D7" s="139">
        <v>81174049120</v>
      </c>
      <c r="E7" s="139">
        <v>1070</v>
      </c>
      <c r="F7" s="137">
        <f t="shared" si="1"/>
        <v>34055.171028037381</v>
      </c>
      <c r="G7" s="141">
        <v>36439033</v>
      </c>
      <c r="H7" s="141">
        <v>36439000</v>
      </c>
      <c r="I7" s="141">
        <v>3643800</v>
      </c>
      <c r="J7" s="141">
        <v>0</v>
      </c>
      <c r="K7" s="142">
        <f t="shared" si="2"/>
        <v>2842200</v>
      </c>
      <c r="L7" s="142">
        <f t="shared" si="3"/>
        <v>801600</v>
      </c>
      <c r="M7" s="139">
        <v>410</v>
      </c>
      <c r="N7" s="142">
        <f t="shared" si="4"/>
        <v>13962600</v>
      </c>
      <c r="O7" s="142">
        <f>ROUNDDOWN(N7*7.8/100,-2)</f>
        <v>1089000</v>
      </c>
      <c r="P7" s="142">
        <f t="shared" si="0"/>
        <v>307200</v>
      </c>
      <c r="Q7" s="141">
        <v>1396200</v>
      </c>
    </row>
    <row r="8" spans="1:17" s="139" customFormat="1" ht="22.5" customHeight="1">
      <c r="A8" s="139">
        <v>202104</v>
      </c>
      <c r="B8" s="140">
        <v>44308</v>
      </c>
      <c r="C8" s="139" t="s">
        <v>48</v>
      </c>
      <c r="D8" s="139">
        <v>81174203120</v>
      </c>
      <c r="E8" s="139">
        <v>399</v>
      </c>
      <c r="F8" s="137">
        <f t="shared" si="1"/>
        <v>26132.293233082706</v>
      </c>
      <c r="G8" s="141">
        <v>10426785</v>
      </c>
      <c r="H8" s="141">
        <v>10426000</v>
      </c>
      <c r="I8" s="141">
        <v>1042500</v>
      </c>
      <c r="J8" s="141">
        <v>0</v>
      </c>
      <c r="K8" s="142">
        <f t="shared" si="2"/>
        <v>813200</v>
      </c>
      <c r="L8" s="142">
        <f t="shared" si="3"/>
        <v>229300</v>
      </c>
      <c r="M8" s="139">
        <v>0</v>
      </c>
      <c r="N8" s="142">
        <f t="shared" si="4"/>
        <v>0</v>
      </c>
      <c r="O8" s="142">
        <f t="shared" si="5"/>
        <v>0</v>
      </c>
      <c r="P8" s="142">
        <f t="shared" si="0"/>
        <v>0</v>
      </c>
      <c r="Q8" s="141">
        <v>0</v>
      </c>
    </row>
    <row r="9" spans="1:17" s="139" customFormat="1" ht="22.5" customHeight="1">
      <c r="A9" s="139">
        <v>202104</v>
      </c>
      <c r="B9" s="140">
        <v>44316</v>
      </c>
      <c r="C9" s="139" t="s">
        <v>47</v>
      </c>
      <c r="D9" s="139">
        <v>81174381510</v>
      </c>
      <c r="E9" s="139">
        <v>1580</v>
      </c>
      <c r="F9" s="137">
        <f t="shared" si="1"/>
        <v>33647.272151898731</v>
      </c>
      <c r="G9" s="141">
        <v>53162690</v>
      </c>
      <c r="H9" s="141">
        <v>53162000</v>
      </c>
      <c r="I9" s="141">
        <v>5316100</v>
      </c>
      <c r="J9" s="141">
        <v>0</v>
      </c>
      <c r="K9" s="142">
        <f t="shared" si="2"/>
        <v>4146600</v>
      </c>
      <c r="L9" s="142">
        <f t="shared" si="3"/>
        <v>1169500</v>
      </c>
      <c r="M9" s="139">
        <v>500</v>
      </c>
      <c r="N9" s="142">
        <f t="shared" si="4"/>
        <v>16823400</v>
      </c>
      <c r="O9" s="142">
        <f t="shared" si="5"/>
        <v>1312200</v>
      </c>
      <c r="P9" s="142">
        <f t="shared" si="0"/>
        <v>370100</v>
      </c>
      <c r="Q9" s="141">
        <v>1682300</v>
      </c>
    </row>
    <row r="10" spans="1:17" s="139" customFormat="1" ht="22.5" customHeight="1">
      <c r="A10" s="139">
        <v>202105</v>
      </c>
      <c r="B10" s="140">
        <v>44340</v>
      </c>
      <c r="C10" s="139" t="s">
        <v>47</v>
      </c>
      <c r="D10" s="139">
        <v>81174878360</v>
      </c>
      <c r="E10" s="139">
        <v>1200</v>
      </c>
      <c r="F10" s="137">
        <f t="shared" si="1"/>
        <v>35007.069166666668</v>
      </c>
      <c r="G10" s="141">
        <v>42008483</v>
      </c>
      <c r="H10" s="141">
        <v>42008000</v>
      </c>
      <c r="I10" s="141">
        <v>4200700</v>
      </c>
      <c r="J10" s="141">
        <v>0</v>
      </c>
      <c r="K10" s="142">
        <f t="shared" si="2"/>
        <v>3276600</v>
      </c>
      <c r="L10" s="142">
        <f t="shared" si="3"/>
        <v>924100</v>
      </c>
      <c r="M10" s="139">
        <v>400</v>
      </c>
      <c r="N10" s="142">
        <f t="shared" si="4"/>
        <v>14002700</v>
      </c>
      <c r="O10" s="142">
        <f t="shared" si="5"/>
        <v>1092200</v>
      </c>
      <c r="P10" s="142">
        <f t="shared" si="0"/>
        <v>308100</v>
      </c>
      <c r="Q10" s="141">
        <v>1400300</v>
      </c>
    </row>
    <row r="11" spans="1:17" s="139" customFormat="1" ht="22.5" customHeight="1">
      <c r="A11" s="139">
        <v>202105</v>
      </c>
      <c r="B11" s="140">
        <v>44342</v>
      </c>
      <c r="C11" s="139" t="s">
        <v>13</v>
      </c>
      <c r="D11" s="139">
        <v>81174924930</v>
      </c>
      <c r="E11" s="139">
        <v>880</v>
      </c>
      <c r="F11" s="137">
        <f t="shared" si="1"/>
        <v>35007.068181818184</v>
      </c>
      <c r="G11" s="141">
        <v>30806220</v>
      </c>
      <c r="H11" s="141">
        <v>30806000</v>
      </c>
      <c r="I11" s="141">
        <v>3080500</v>
      </c>
      <c r="J11" s="141">
        <v>0</v>
      </c>
      <c r="K11" s="142">
        <f t="shared" si="2"/>
        <v>2402800</v>
      </c>
      <c r="L11" s="142">
        <f t="shared" si="3"/>
        <v>677700</v>
      </c>
      <c r="M11" s="139">
        <v>430</v>
      </c>
      <c r="N11" s="142">
        <f t="shared" si="4"/>
        <v>15052900</v>
      </c>
      <c r="O11" s="142">
        <f t="shared" si="5"/>
        <v>1174100</v>
      </c>
      <c r="P11" s="142">
        <f t="shared" si="0"/>
        <v>331200</v>
      </c>
      <c r="Q11" s="141">
        <v>1505300</v>
      </c>
    </row>
    <row r="12" spans="1:17" s="139" customFormat="1" ht="22.5" customHeight="1">
      <c r="A12" s="139">
        <v>202105</v>
      </c>
      <c r="B12" s="140">
        <v>44344</v>
      </c>
      <c r="C12" s="139" t="s">
        <v>48</v>
      </c>
      <c r="D12" s="139">
        <v>81174981040</v>
      </c>
      <c r="E12" s="139">
        <v>1020</v>
      </c>
      <c r="F12" s="137">
        <f t="shared" si="1"/>
        <v>27562.119607843139</v>
      </c>
      <c r="G12" s="141">
        <v>28113362</v>
      </c>
      <c r="H12" s="141">
        <v>28113000</v>
      </c>
      <c r="I12" s="141">
        <v>2811200</v>
      </c>
      <c r="J12" s="141">
        <v>0</v>
      </c>
      <c r="K12" s="142">
        <f t="shared" si="2"/>
        <v>2192800</v>
      </c>
      <c r="L12" s="142">
        <f t="shared" si="3"/>
        <v>618400</v>
      </c>
      <c r="M12" s="139">
        <v>0</v>
      </c>
      <c r="N12" s="142">
        <f t="shared" si="4"/>
        <v>0</v>
      </c>
      <c r="O12" s="142">
        <f t="shared" si="5"/>
        <v>0</v>
      </c>
      <c r="P12" s="142">
        <f t="shared" si="0"/>
        <v>0</v>
      </c>
      <c r="Q12" s="141">
        <v>0</v>
      </c>
    </row>
    <row r="13" spans="1:17" s="139" customFormat="1" ht="22.5" customHeight="1">
      <c r="A13" s="139">
        <v>202106</v>
      </c>
      <c r="B13" s="140">
        <v>44350</v>
      </c>
      <c r="C13" s="139" t="s">
        <v>48</v>
      </c>
      <c r="D13" s="139">
        <v>81175091640</v>
      </c>
      <c r="E13" s="139">
        <v>420</v>
      </c>
      <c r="F13" s="137">
        <f t="shared" si="1"/>
        <v>28617.759523809524</v>
      </c>
      <c r="G13" s="141">
        <v>12019459</v>
      </c>
      <c r="H13" s="141">
        <v>12019000</v>
      </c>
      <c r="I13" s="141">
        <v>1201700</v>
      </c>
      <c r="J13" s="141">
        <v>0</v>
      </c>
      <c r="K13" s="142">
        <f t="shared" si="2"/>
        <v>937400</v>
      </c>
      <c r="L13" s="142">
        <f t="shared" si="3"/>
        <v>264300</v>
      </c>
      <c r="M13" s="139">
        <v>0</v>
      </c>
      <c r="N13" s="142">
        <f t="shared" si="4"/>
        <v>0</v>
      </c>
      <c r="O13" s="142">
        <f t="shared" si="5"/>
        <v>0</v>
      </c>
      <c r="P13" s="142">
        <f t="shared" si="0"/>
        <v>0</v>
      </c>
      <c r="Q13" s="141">
        <v>0</v>
      </c>
    </row>
    <row r="14" spans="1:17" s="139" customFormat="1" ht="22.5" customHeight="1">
      <c r="A14" s="139">
        <v>202106</v>
      </c>
      <c r="B14" s="140">
        <v>44354</v>
      </c>
      <c r="C14" s="139" t="s">
        <v>48</v>
      </c>
      <c r="D14" s="139">
        <v>81175170410</v>
      </c>
      <c r="E14" s="139">
        <v>252</v>
      </c>
      <c r="F14" s="137">
        <f t="shared" si="1"/>
        <v>28617.757936507936</v>
      </c>
      <c r="G14" s="141">
        <v>7211675</v>
      </c>
      <c r="H14" s="141">
        <v>7211000</v>
      </c>
      <c r="I14" s="141">
        <v>721000</v>
      </c>
      <c r="J14" s="141">
        <v>0</v>
      </c>
      <c r="K14" s="142">
        <f t="shared" ref="K14" si="6">ROUNDDOWN(H14*7.8/100,-2)</f>
        <v>562400</v>
      </c>
      <c r="L14" s="142">
        <f t="shared" ref="L14" si="7">I14-K14</f>
        <v>158600</v>
      </c>
      <c r="M14" s="139">
        <v>252</v>
      </c>
      <c r="N14" s="142">
        <f t="shared" si="4"/>
        <v>7211000</v>
      </c>
      <c r="O14" s="142">
        <f t="shared" si="5"/>
        <v>562400</v>
      </c>
      <c r="P14" s="142">
        <f t="shared" si="0"/>
        <v>158600</v>
      </c>
      <c r="Q14" s="141">
        <v>721000</v>
      </c>
    </row>
    <row r="15" spans="1:17" s="139" customFormat="1" ht="22.5" customHeight="1">
      <c r="A15" s="139">
        <v>202106</v>
      </c>
      <c r="B15" s="140">
        <v>44361</v>
      </c>
      <c r="C15" s="139" t="s">
        <v>47</v>
      </c>
      <c r="D15" s="139">
        <v>81175308420</v>
      </c>
      <c r="E15" s="139">
        <v>1292</v>
      </c>
      <c r="F15" s="137">
        <f t="shared" si="1"/>
        <v>34218.236068111459</v>
      </c>
      <c r="G15" s="141">
        <v>44209961</v>
      </c>
      <c r="H15" s="141">
        <v>44209000</v>
      </c>
      <c r="I15" s="141">
        <v>4420800</v>
      </c>
      <c r="J15" s="141">
        <v>0</v>
      </c>
      <c r="K15" s="142">
        <f t="shared" si="2"/>
        <v>3448300</v>
      </c>
      <c r="L15" s="142">
        <f t="shared" si="3"/>
        <v>972500</v>
      </c>
      <c r="M15" s="139">
        <v>892</v>
      </c>
      <c r="N15" s="142">
        <f t="shared" si="4"/>
        <v>30522000</v>
      </c>
      <c r="O15" s="142">
        <f t="shared" si="5"/>
        <v>2380700</v>
      </c>
      <c r="P15" s="142">
        <f t="shared" si="0"/>
        <v>671400</v>
      </c>
      <c r="Q15" s="141">
        <v>3052100</v>
      </c>
    </row>
    <row r="16" spans="1:17" s="139" customFormat="1" ht="22.5" customHeight="1">
      <c r="A16" s="139">
        <v>202106</v>
      </c>
      <c r="B16" s="140">
        <v>44361</v>
      </c>
      <c r="C16" s="139" t="s">
        <v>47</v>
      </c>
      <c r="D16" s="139">
        <v>81175308530</v>
      </c>
      <c r="E16" s="139">
        <v>868</v>
      </c>
      <c r="F16" s="137">
        <f t="shared" si="1"/>
        <v>34218.236175115206</v>
      </c>
      <c r="G16" s="141">
        <v>29701429</v>
      </c>
      <c r="H16" s="141">
        <v>29701000</v>
      </c>
      <c r="I16" s="141">
        <v>2970000</v>
      </c>
      <c r="J16" s="141">
        <v>0</v>
      </c>
      <c r="K16" s="142">
        <f t="shared" si="2"/>
        <v>2316600</v>
      </c>
      <c r="L16" s="142">
        <f t="shared" si="3"/>
        <v>653400</v>
      </c>
      <c r="M16" s="139">
        <v>128</v>
      </c>
      <c r="N16" s="142">
        <f t="shared" si="4"/>
        <v>4379900</v>
      </c>
      <c r="O16" s="142">
        <f t="shared" si="5"/>
        <v>341600</v>
      </c>
      <c r="P16" s="142">
        <f t="shared" si="0"/>
        <v>96400</v>
      </c>
      <c r="Q16" s="141">
        <v>438000</v>
      </c>
    </row>
    <row r="17" spans="1:17" s="139" customFormat="1" ht="22.5" customHeight="1">
      <c r="A17" s="139">
        <v>202106</v>
      </c>
      <c r="B17" s="140">
        <v>44375</v>
      </c>
      <c r="C17" s="139" t="s">
        <v>47</v>
      </c>
      <c r="D17" s="139">
        <v>81175621760</v>
      </c>
      <c r="E17" s="139">
        <v>200</v>
      </c>
      <c r="F17" s="137">
        <f t="shared" si="1"/>
        <v>37211.915000000001</v>
      </c>
      <c r="G17" s="141">
        <v>7442383</v>
      </c>
      <c r="H17" s="141">
        <v>7442000</v>
      </c>
      <c r="I17" s="141">
        <v>744100</v>
      </c>
      <c r="J17" s="141">
        <v>0</v>
      </c>
      <c r="K17" s="142">
        <f t="shared" si="2"/>
        <v>580400</v>
      </c>
      <c r="L17" s="142">
        <f t="shared" si="3"/>
        <v>163700</v>
      </c>
      <c r="M17" s="139">
        <v>0</v>
      </c>
      <c r="N17" s="142">
        <f t="shared" si="4"/>
        <v>0</v>
      </c>
      <c r="O17" s="142">
        <f t="shared" si="5"/>
        <v>0</v>
      </c>
      <c r="P17" s="142">
        <f t="shared" si="0"/>
        <v>0</v>
      </c>
      <c r="Q17" s="141">
        <v>0</v>
      </c>
    </row>
    <row r="18" spans="1:17" ht="22.5" customHeight="1">
      <c r="A18" s="144">
        <v>202107</v>
      </c>
      <c r="B18" s="145">
        <v>44384</v>
      </c>
      <c r="C18" s="144" t="s">
        <v>47</v>
      </c>
      <c r="D18" s="144">
        <v>81175830400</v>
      </c>
      <c r="E18" s="144">
        <v>750</v>
      </c>
      <c r="F18" s="137">
        <f t="shared" si="1"/>
        <v>37379.972000000002</v>
      </c>
      <c r="G18" s="146">
        <v>28034979</v>
      </c>
      <c r="H18" s="146">
        <v>28034000</v>
      </c>
      <c r="I18" s="146">
        <v>2803300</v>
      </c>
      <c r="J18" s="146">
        <v>0</v>
      </c>
      <c r="K18" s="147">
        <f t="shared" si="2"/>
        <v>2186600</v>
      </c>
      <c r="L18" s="147">
        <f t="shared" si="3"/>
        <v>616700</v>
      </c>
      <c r="M18" s="144">
        <v>0</v>
      </c>
      <c r="N18" s="147">
        <f t="shared" si="4"/>
        <v>0</v>
      </c>
      <c r="O18" s="147">
        <f t="shared" si="5"/>
        <v>0</v>
      </c>
      <c r="P18" s="147">
        <f t="shared" si="0"/>
        <v>0</v>
      </c>
      <c r="Q18" s="146">
        <v>0</v>
      </c>
    </row>
    <row r="19" spans="1:17" ht="22.5" customHeight="1">
      <c r="A19" s="144">
        <v>202107</v>
      </c>
      <c r="B19" s="145">
        <v>44392</v>
      </c>
      <c r="C19" s="144" t="s">
        <v>47</v>
      </c>
      <c r="D19" s="144">
        <v>81176001160</v>
      </c>
      <c r="E19" s="144">
        <v>200</v>
      </c>
      <c r="F19" s="137">
        <f t="shared" si="1"/>
        <v>37794.684999999998</v>
      </c>
      <c r="G19" s="146">
        <v>7558937</v>
      </c>
      <c r="H19" s="146">
        <v>7558000</v>
      </c>
      <c r="I19" s="146">
        <v>755700</v>
      </c>
      <c r="J19" s="146">
        <v>0</v>
      </c>
      <c r="K19" s="147">
        <f t="shared" si="2"/>
        <v>589500</v>
      </c>
      <c r="L19" s="147">
        <f t="shared" si="3"/>
        <v>166200</v>
      </c>
      <c r="M19" s="144">
        <v>0</v>
      </c>
      <c r="N19" s="147">
        <f t="shared" si="4"/>
        <v>0</v>
      </c>
      <c r="O19" s="147">
        <f t="shared" si="5"/>
        <v>0</v>
      </c>
      <c r="P19" s="147">
        <f t="shared" si="0"/>
        <v>0</v>
      </c>
      <c r="Q19" s="146">
        <v>0</v>
      </c>
    </row>
    <row r="20" spans="1:17" ht="22.5" customHeight="1">
      <c r="A20" s="144">
        <v>202107</v>
      </c>
      <c r="B20" s="145">
        <v>44405</v>
      </c>
      <c r="C20" s="144" t="s">
        <v>13</v>
      </c>
      <c r="D20" s="144">
        <v>81176267640</v>
      </c>
      <c r="E20" s="144">
        <v>1370</v>
      </c>
      <c r="F20" s="137">
        <f t="shared" si="1"/>
        <v>40709.850364963502</v>
      </c>
      <c r="G20" s="146">
        <v>55772495</v>
      </c>
      <c r="H20" s="146">
        <v>55772000</v>
      </c>
      <c r="I20" s="146">
        <v>5577100</v>
      </c>
      <c r="J20" s="146">
        <v>0</v>
      </c>
      <c r="K20" s="147">
        <f t="shared" si="2"/>
        <v>4350200</v>
      </c>
      <c r="L20" s="147">
        <f t="shared" si="3"/>
        <v>1226900</v>
      </c>
      <c r="M20" s="144">
        <v>510</v>
      </c>
      <c r="N20" s="147">
        <f t="shared" si="4"/>
        <v>20761800</v>
      </c>
      <c r="O20" s="147">
        <f t="shared" si="5"/>
        <v>1619400</v>
      </c>
      <c r="P20" s="147">
        <f t="shared" si="0"/>
        <v>456800</v>
      </c>
      <c r="Q20" s="146">
        <v>2076200</v>
      </c>
    </row>
    <row r="21" spans="1:17" s="139" customFormat="1" ht="22.5" customHeight="1">
      <c r="A21" s="139">
        <v>202108</v>
      </c>
      <c r="B21" s="140">
        <v>44418</v>
      </c>
      <c r="C21" s="139" t="s">
        <v>13</v>
      </c>
      <c r="D21" s="139">
        <v>81176515220</v>
      </c>
      <c r="E21" s="139">
        <v>680</v>
      </c>
      <c r="F21" s="137">
        <f t="shared" si="1"/>
        <v>40742.523529411767</v>
      </c>
      <c r="G21" s="141">
        <v>27704916</v>
      </c>
      <c r="H21" s="141">
        <v>27704000</v>
      </c>
      <c r="I21" s="141">
        <v>2770300</v>
      </c>
      <c r="J21" s="141">
        <v>0</v>
      </c>
      <c r="K21" s="142">
        <f t="shared" si="2"/>
        <v>2160900</v>
      </c>
      <c r="L21" s="142">
        <f t="shared" si="3"/>
        <v>609400</v>
      </c>
      <c r="M21" s="139">
        <v>210</v>
      </c>
      <c r="N21" s="142">
        <f t="shared" si="4"/>
        <v>8555600</v>
      </c>
      <c r="O21" s="142">
        <f t="shared" si="5"/>
        <v>667300</v>
      </c>
      <c r="P21" s="142">
        <f t="shared" si="0"/>
        <v>188200</v>
      </c>
      <c r="Q21" s="141">
        <v>855500</v>
      </c>
    </row>
    <row r="22" spans="1:17" s="139" customFormat="1" ht="22.5" customHeight="1">
      <c r="A22" s="139">
        <v>202108</v>
      </c>
      <c r="B22" s="140">
        <v>44418</v>
      </c>
      <c r="C22" s="139" t="s">
        <v>48</v>
      </c>
      <c r="D22" s="139">
        <v>81176501110</v>
      </c>
      <c r="E22" s="139">
        <v>420</v>
      </c>
      <c r="F22" s="137">
        <f t="shared" si="1"/>
        <v>34517.114285714284</v>
      </c>
      <c r="G22" s="141">
        <v>14497188</v>
      </c>
      <c r="H22" s="141">
        <v>14497000</v>
      </c>
      <c r="I22" s="141">
        <v>1449600</v>
      </c>
      <c r="J22" s="141">
        <v>0</v>
      </c>
      <c r="K22" s="142">
        <f t="shared" si="2"/>
        <v>1130700</v>
      </c>
      <c r="L22" s="142">
        <f t="shared" si="3"/>
        <v>318900</v>
      </c>
      <c r="M22" s="139">
        <v>0</v>
      </c>
      <c r="N22" s="142">
        <f t="shared" si="4"/>
        <v>0</v>
      </c>
      <c r="O22" s="142">
        <f t="shared" si="5"/>
        <v>0</v>
      </c>
      <c r="P22" s="142">
        <f t="shared" si="0"/>
        <v>0</v>
      </c>
      <c r="Q22" s="141">
        <v>0</v>
      </c>
    </row>
    <row r="23" spans="1:17" s="139" customFormat="1" ht="22.5" customHeight="1">
      <c r="A23" s="139">
        <v>202108</v>
      </c>
      <c r="B23" s="140">
        <v>44418</v>
      </c>
      <c r="C23" s="139" t="s">
        <v>48</v>
      </c>
      <c r="D23" s="139">
        <v>81176520450</v>
      </c>
      <c r="E23" s="139">
        <v>241.5</v>
      </c>
      <c r="F23" s="137">
        <f t="shared" si="1"/>
        <v>34517.109730848861</v>
      </c>
      <c r="G23" s="141">
        <v>8335882</v>
      </c>
      <c r="H23" s="141">
        <v>8335000</v>
      </c>
      <c r="I23" s="141">
        <v>833400</v>
      </c>
      <c r="J23" s="141">
        <v>0</v>
      </c>
      <c r="K23" s="142">
        <f t="shared" si="2"/>
        <v>650100</v>
      </c>
      <c r="L23" s="142">
        <f t="shared" si="3"/>
        <v>183300</v>
      </c>
      <c r="M23" s="139">
        <v>241.5</v>
      </c>
      <c r="N23" s="142">
        <f t="shared" si="4"/>
        <v>8335000</v>
      </c>
      <c r="O23" s="142">
        <f t="shared" si="5"/>
        <v>650100</v>
      </c>
      <c r="P23" s="142">
        <f t="shared" si="0"/>
        <v>183300</v>
      </c>
      <c r="Q23" s="141">
        <v>833400</v>
      </c>
    </row>
    <row r="24" spans="1:17" s="139" customFormat="1" ht="22.5" customHeight="1">
      <c r="A24" s="139">
        <v>202108</v>
      </c>
      <c r="B24" s="140">
        <v>44427</v>
      </c>
      <c r="C24" s="139" t="s">
        <v>13</v>
      </c>
      <c r="D24" s="139">
        <v>81176700460</v>
      </c>
      <c r="E24" s="139">
        <v>940</v>
      </c>
      <c r="F24" s="137">
        <f t="shared" si="1"/>
        <v>37722.609574468086</v>
      </c>
      <c r="G24" s="141">
        <v>35459253</v>
      </c>
      <c r="H24" s="141">
        <v>35459000</v>
      </c>
      <c r="I24" s="141">
        <v>3545800</v>
      </c>
      <c r="J24" s="141">
        <v>0</v>
      </c>
      <c r="K24" s="142">
        <f t="shared" si="2"/>
        <v>2765800</v>
      </c>
      <c r="L24" s="142">
        <f t="shared" si="3"/>
        <v>780000</v>
      </c>
      <c r="M24" s="139">
        <v>220</v>
      </c>
      <c r="N24" s="142">
        <f t="shared" si="4"/>
        <v>8298900</v>
      </c>
      <c r="O24" s="142">
        <f t="shared" si="5"/>
        <v>647300</v>
      </c>
      <c r="P24" s="142">
        <f t="shared" si="0"/>
        <v>182600</v>
      </c>
      <c r="Q24" s="141">
        <v>829900</v>
      </c>
    </row>
    <row r="25" spans="1:17" s="139" customFormat="1" ht="22.5" customHeight="1">
      <c r="A25" s="139">
        <v>202108</v>
      </c>
      <c r="B25" s="140">
        <v>44433</v>
      </c>
      <c r="C25" s="139" t="s">
        <v>48</v>
      </c>
      <c r="D25" s="139">
        <v>81176825650</v>
      </c>
      <c r="E25" s="139">
        <v>892.5</v>
      </c>
      <c r="F25" s="137">
        <f t="shared" si="1"/>
        <v>32309.750140056021</v>
      </c>
      <c r="G25" s="141">
        <v>28836452</v>
      </c>
      <c r="H25" s="141">
        <v>28836000</v>
      </c>
      <c r="I25" s="141">
        <v>2883500</v>
      </c>
      <c r="J25" s="141">
        <v>0</v>
      </c>
      <c r="K25" s="142">
        <f t="shared" si="2"/>
        <v>2249200</v>
      </c>
      <c r="L25" s="142">
        <f t="shared" si="3"/>
        <v>634300</v>
      </c>
      <c r="M25" s="139">
        <v>0</v>
      </c>
      <c r="N25" s="142">
        <f t="shared" si="4"/>
        <v>0</v>
      </c>
      <c r="O25" s="142">
        <f t="shared" si="5"/>
        <v>0</v>
      </c>
      <c r="P25" s="142">
        <f t="shared" si="0"/>
        <v>0</v>
      </c>
      <c r="Q25" s="141">
        <v>0</v>
      </c>
    </row>
    <row r="26" spans="1:17" s="139" customFormat="1" ht="22.5" customHeight="1">
      <c r="A26" s="139">
        <v>202109</v>
      </c>
      <c r="B26" s="140">
        <v>44446</v>
      </c>
      <c r="C26" s="139" t="s">
        <v>13</v>
      </c>
      <c r="D26" s="139">
        <v>81177051200</v>
      </c>
      <c r="E26" s="139">
        <v>1240</v>
      </c>
      <c r="F26" s="137">
        <f t="shared" si="1"/>
        <v>36259.006451612906</v>
      </c>
      <c r="G26" s="141">
        <v>44961168</v>
      </c>
      <c r="H26" s="141">
        <v>44961000</v>
      </c>
      <c r="I26" s="141">
        <v>4496000</v>
      </c>
      <c r="J26" s="141">
        <v>0</v>
      </c>
      <c r="K26" s="142">
        <f t="shared" si="2"/>
        <v>3506900</v>
      </c>
      <c r="L26" s="142">
        <f t="shared" si="3"/>
        <v>989100</v>
      </c>
      <c r="M26" s="139">
        <v>210</v>
      </c>
      <c r="N26" s="142">
        <f t="shared" si="4"/>
        <v>7614400</v>
      </c>
      <c r="O26" s="142">
        <f t="shared" si="5"/>
        <v>593900</v>
      </c>
      <c r="P26" s="142">
        <f t="shared" si="0"/>
        <v>167500</v>
      </c>
      <c r="Q26" s="141">
        <v>761400</v>
      </c>
    </row>
    <row r="27" spans="1:17" s="139" customFormat="1" ht="22.5" customHeight="1">
      <c r="A27" s="139">
        <v>202109</v>
      </c>
      <c r="B27" s="140">
        <v>44446</v>
      </c>
      <c r="C27" s="139" t="s">
        <v>13</v>
      </c>
      <c r="D27" s="139">
        <v>81177051310</v>
      </c>
      <c r="E27" s="139">
        <v>440</v>
      </c>
      <c r="F27" s="137">
        <f t="shared" si="1"/>
        <v>36259.004545454547</v>
      </c>
      <c r="G27" s="141">
        <v>15953962</v>
      </c>
      <c r="H27" s="141">
        <v>15953000</v>
      </c>
      <c r="I27" s="141">
        <v>1595200</v>
      </c>
      <c r="J27" s="141">
        <v>0</v>
      </c>
      <c r="K27" s="142">
        <f t="shared" si="2"/>
        <v>1244300</v>
      </c>
      <c r="L27" s="142">
        <f t="shared" si="3"/>
        <v>350900</v>
      </c>
      <c r="M27" s="139">
        <v>440</v>
      </c>
      <c r="N27" s="142">
        <f t="shared" si="4"/>
        <v>15953000</v>
      </c>
      <c r="O27" s="142">
        <f t="shared" si="5"/>
        <v>1244300</v>
      </c>
      <c r="P27" s="142">
        <f t="shared" si="0"/>
        <v>350900</v>
      </c>
      <c r="Q27" s="141">
        <v>1595200</v>
      </c>
    </row>
    <row r="28" spans="1:17" s="139" customFormat="1" ht="22.5" customHeight="1">
      <c r="A28" s="139">
        <v>202109</v>
      </c>
      <c r="B28" s="140">
        <v>44452</v>
      </c>
      <c r="C28" s="139" t="s">
        <v>48</v>
      </c>
      <c r="D28" s="139">
        <v>81177179260</v>
      </c>
      <c r="E28" s="139">
        <v>262.5</v>
      </c>
      <c r="F28" s="137">
        <f t="shared" si="1"/>
        <v>32072.472380952382</v>
      </c>
      <c r="G28" s="141">
        <v>8419024</v>
      </c>
      <c r="H28" s="141">
        <v>8419000</v>
      </c>
      <c r="I28" s="141">
        <v>841700</v>
      </c>
      <c r="J28" s="141">
        <v>0</v>
      </c>
      <c r="K28" s="142">
        <f t="shared" si="2"/>
        <v>656600</v>
      </c>
      <c r="L28" s="142">
        <f t="shared" si="3"/>
        <v>185100</v>
      </c>
      <c r="M28" s="139">
        <v>262.5</v>
      </c>
      <c r="N28" s="142">
        <f t="shared" si="4"/>
        <v>8419000</v>
      </c>
      <c r="O28" s="142">
        <f t="shared" si="5"/>
        <v>656600</v>
      </c>
      <c r="P28" s="142">
        <f t="shared" si="0"/>
        <v>185100</v>
      </c>
      <c r="Q28" s="141">
        <v>841700</v>
      </c>
    </row>
    <row r="29" spans="1:17" ht="22.5" customHeight="1">
      <c r="A29" s="123">
        <v>202109</v>
      </c>
      <c r="B29" s="124">
        <v>44467</v>
      </c>
      <c r="C29" s="123" t="s">
        <v>13</v>
      </c>
      <c r="D29" s="123">
        <v>81177467440</v>
      </c>
      <c r="E29" s="123">
        <v>800</v>
      </c>
      <c r="F29" s="137">
        <f t="shared" si="1"/>
        <v>37115.161249999997</v>
      </c>
      <c r="G29" s="125">
        <v>29692129</v>
      </c>
      <c r="H29" s="125">
        <v>29690000</v>
      </c>
      <c r="I29" s="125">
        <v>2960000</v>
      </c>
      <c r="J29" s="125">
        <v>0</v>
      </c>
      <c r="K29" s="126">
        <f t="shared" si="2"/>
        <v>2315800</v>
      </c>
      <c r="L29" s="126">
        <f t="shared" si="3"/>
        <v>644200</v>
      </c>
      <c r="M29" s="123">
        <v>150</v>
      </c>
      <c r="N29" s="126">
        <f t="shared" si="4"/>
        <v>5566900</v>
      </c>
      <c r="O29" s="126">
        <f t="shared" si="5"/>
        <v>434200</v>
      </c>
      <c r="P29" s="126">
        <f t="shared" si="0"/>
        <v>122500</v>
      </c>
      <c r="Q29" s="125">
        <v>556700</v>
      </c>
    </row>
    <row r="30" spans="1:17" ht="22.5" customHeight="1">
      <c r="A30" s="144">
        <v>202110</v>
      </c>
      <c r="B30" s="145">
        <v>44474</v>
      </c>
      <c r="C30" s="144" t="s">
        <v>48</v>
      </c>
      <c r="D30" s="144">
        <v>81177616540</v>
      </c>
      <c r="E30" s="144">
        <v>625</v>
      </c>
      <c r="F30" s="137">
        <f t="shared" si="1"/>
        <v>33610.8992</v>
      </c>
      <c r="G30" s="146">
        <v>21006812</v>
      </c>
      <c r="H30" s="146">
        <v>21006000</v>
      </c>
      <c r="I30" s="146">
        <v>2100500</v>
      </c>
      <c r="J30" s="146">
        <v>0</v>
      </c>
      <c r="K30" s="147">
        <f t="shared" si="2"/>
        <v>1638400</v>
      </c>
      <c r="L30" s="147">
        <f t="shared" si="3"/>
        <v>462100</v>
      </c>
      <c r="M30" s="144">
        <v>0</v>
      </c>
      <c r="N30" s="147">
        <f t="shared" si="4"/>
        <v>0</v>
      </c>
      <c r="O30" s="147">
        <f t="shared" si="5"/>
        <v>0</v>
      </c>
      <c r="P30" s="147">
        <f t="shared" si="0"/>
        <v>0</v>
      </c>
      <c r="Q30" s="146">
        <v>0</v>
      </c>
    </row>
    <row r="31" spans="1:17" ht="22.5" customHeight="1">
      <c r="A31" s="144">
        <v>202110</v>
      </c>
      <c r="B31" s="145">
        <v>44477</v>
      </c>
      <c r="C31" s="144" t="s">
        <v>48</v>
      </c>
      <c r="D31" s="144">
        <v>81177672910</v>
      </c>
      <c r="E31" s="144">
        <v>1050</v>
      </c>
      <c r="F31" s="137">
        <f t="shared" ref="F31:F32" si="8">G31/E31</f>
        <v>33610.9</v>
      </c>
      <c r="G31" s="146">
        <v>35291445</v>
      </c>
      <c r="H31" s="146">
        <v>35291000</v>
      </c>
      <c r="I31" s="146">
        <v>3528900</v>
      </c>
      <c r="J31" s="146">
        <v>0</v>
      </c>
      <c r="K31" s="147">
        <f t="shared" ref="K31:K32" si="9">ROUNDDOWN(H31*7.8/100,-2)</f>
        <v>2752600</v>
      </c>
      <c r="L31" s="147">
        <f t="shared" ref="L31:L32" si="10">I31-K31</f>
        <v>776300</v>
      </c>
      <c r="M31" s="144">
        <v>0</v>
      </c>
      <c r="N31" s="147">
        <f t="shared" ref="N31:N32" si="11">ROUND(H31/E31*M31,-2)</f>
        <v>0</v>
      </c>
      <c r="O31" s="147">
        <f t="shared" ref="O31:O32" si="12">ROUNDDOWN(N31*7.8/100,-2)</f>
        <v>0</v>
      </c>
      <c r="P31" s="147">
        <f t="shared" ref="P31:P32" si="13">Q31-O31</f>
        <v>0</v>
      </c>
      <c r="Q31" s="146">
        <v>0</v>
      </c>
    </row>
    <row r="32" spans="1:17" ht="22.5" customHeight="1">
      <c r="A32" s="144">
        <v>202110</v>
      </c>
      <c r="B32" s="145">
        <v>44480</v>
      </c>
      <c r="C32" s="144" t="s">
        <v>13</v>
      </c>
      <c r="D32" s="144">
        <v>81177713030</v>
      </c>
      <c r="E32" s="144">
        <v>925</v>
      </c>
      <c r="F32" s="137">
        <f t="shared" si="8"/>
        <v>37646.605405405404</v>
      </c>
      <c r="G32" s="146">
        <v>34823110</v>
      </c>
      <c r="H32" s="146">
        <v>34823000</v>
      </c>
      <c r="I32" s="146">
        <v>3482100</v>
      </c>
      <c r="J32" s="146">
        <v>0</v>
      </c>
      <c r="K32" s="147">
        <f t="shared" si="9"/>
        <v>2716100</v>
      </c>
      <c r="L32" s="147">
        <f t="shared" si="10"/>
        <v>766000</v>
      </c>
      <c r="M32" s="144">
        <v>205</v>
      </c>
      <c r="N32" s="147">
        <f t="shared" si="11"/>
        <v>7717500</v>
      </c>
      <c r="O32" s="147">
        <f t="shared" si="12"/>
        <v>601900</v>
      </c>
      <c r="P32" s="147">
        <f t="shared" si="13"/>
        <v>169800</v>
      </c>
      <c r="Q32" s="146">
        <v>771700</v>
      </c>
    </row>
    <row r="33" spans="1:17" ht="22.5" customHeight="1">
      <c r="A33" s="144">
        <v>202110</v>
      </c>
      <c r="B33" s="145">
        <v>44484</v>
      </c>
      <c r="C33" s="144" t="s">
        <v>13</v>
      </c>
      <c r="D33" s="144">
        <v>81177848350</v>
      </c>
      <c r="E33" s="144">
        <v>800</v>
      </c>
      <c r="F33" s="137">
        <f t="shared" ref="F33:F36" si="14">G33/E33</f>
        <v>32027.174999999999</v>
      </c>
      <c r="G33" s="146">
        <v>25621740</v>
      </c>
      <c r="H33" s="146">
        <v>25621000</v>
      </c>
      <c r="I33" s="146">
        <v>2562000</v>
      </c>
      <c r="J33" s="146">
        <v>0</v>
      </c>
      <c r="K33" s="147">
        <f t="shared" ref="K33:K36" si="15">ROUNDDOWN(H33*7.8/100,-2)</f>
        <v>1998400</v>
      </c>
      <c r="L33" s="147">
        <f t="shared" ref="L33:L36" si="16">I33-K33</f>
        <v>563600</v>
      </c>
      <c r="M33" s="144">
        <v>800</v>
      </c>
      <c r="N33" s="147">
        <f t="shared" ref="N33:N36" si="17">ROUND(H33/E33*M33,-2)</f>
        <v>25621000</v>
      </c>
      <c r="O33" s="147">
        <f t="shared" ref="O33:O36" si="18">ROUNDDOWN(N33*7.8/100,-2)</f>
        <v>1998400</v>
      </c>
      <c r="P33" s="147">
        <f t="shared" ref="P33:P36" si="19">Q33-O33</f>
        <v>563600</v>
      </c>
      <c r="Q33" s="146">
        <v>2562000</v>
      </c>
    </row>
    <row r="34" spans="1:17" ht="22.5" customHeight="1">
      <c r="A34" s="144">
        <v>202110</v>
      </c>
      <c r="B34" s="145">
        <v>44498</v>
      </c>
      <c r="C34" s="144" t="s">
        <v>13</v>
      </c>
      <c r="D34" s="144">
        <v>81178139660</v>
      </c>
      <c r="E34" s="144">
        <v>120</v>
      </c>
      <c r="F34" s="137">
        <f t="shared" si="14"/>
        <v>38605.933333333334</v>
      </c>
      <c r="G34" s="146">
        <v>4632712</v>
      </c>
      <c r="H34" s="146">
        <v>4632000</v>
      </c>
      <c r="I34" s="146">
        <v>463000</v>
      </c>
      <c r="J34" s="146">
        <v>0</v>
      </c>
      <c r="K34" s="147">
        <f t="shared" si="15"/>
        <v>361200</v>
      </c>
      <c r="L34" s="147">
        <f t="shared" si="16"/>
        <v>101800</v>
      </c>
      <c r="M34" s="144">
        <v>0</v>
      </c>
      <c r="N34" s="147">
        <f t="shared" si="17"/>
        <v>0</v>
      </c>
      <c r="O34" s="147">
        <f t="shared" si="18"/>
        <v>0</v>
      </c>
      <c r="P34" s="147">
        <f t="shared" si="19"/>
        <v>0</v>
      </c>
      <c r="Q34" s="146">
        <v>0</v>
      </c>
    </row>
    <row r="35" spans="1:17" s="139" customFormat="1" ht="22.5" customHeight="1">
      <c r="A35" s="139">
        <v>202111</v>
      </c>
      <c r="B35" s="140">
        <v>44501</v>
      </c>
      <c r="C35" s="139" t="s">
        <v>13</v>
      </c>
      <c r="D35" s="139">
        <v>81178173300</v>
      </c>
      <c r="E35" s="139">
        <v>1160</v>
      </c>
      <c r="F35" s="148">
        <f t="shared" si="14"/>
        <v>38910.941379310345</v>
      </c>
      <c r="G35" s="141">
        <v>45136692</v>
      </c>
      <c r="H35" s="141">
        <v>45136000</v>
      </c>
      <c r="I35" s="141">
        <v>4513500</v>
      </c>
      <c r="J35" s="141">
        <v>0</v>
      </c>
      <c r="K35" s="142">
        <f t="shared" si="15"/>
        <v>3520600</v>
      </c>
      <c r="L35" s="142">
        <f t="shared" si="16"/>
        <v>992900</v>
      </c>
      <c r="M35" s="139">
        <v>0</v>
      </c>
      <c r="N35" s="142">
        <f t="shared" si="17"/>
        <v>0</v>
      </c>
      <c r="O35" s="142">
        <f t="shared" si="18"/>
        <v>0</v>
      </c>
      <c r="P35" s="142">
        <f t="shared" si="19"/>
        <v>0</v>
      </c>
      <c r="Q35" s="141">
        <v>0</v>
      </c>
    </row>
    <row r="36" spans="1:17" s="139" customFormat="1" ht="22.5" customHeight="1">
      <c r="A36" s="139">
        <v>202111</v>
      </c>
      <c r="B36" s="140">
        <v>44519</v>
      </c>
      <c r="C36" s="139" t="s">
        <v>13</v>
      </c>
      <c r="D36" s="139">
        <v>81178616140</v>
      </c>
      <c r="E36" s="139">
        <v>1470</v>
      </c>
      <c r="F36" s="148">
        <f t="shared" si="14"/>
        <v>38054.976870748302</v>
      </c>
      <c r="G36" s="141">
        <v>55940816</v>
      </c>
      <c r="H36" s="141">
        <v>55940000</v>
      </c>
      <c r="I36" s="141">
        <v>5593900</v>
      </c>
      <c r="J36" s="141">
        <v>0</v>
      </c>
      <c r="K36" s="142">
        <f t="shared" si="15"/>
        <v>4363300</v>
      </c>
      <c r="L36" s="142">
        <f t="shared" si="16"/>
        <v>1230600</v>
      </c>
      <c r="M36" s="139">
        <v>770</v>
      </c>
      <c r="N36" s="142">
        <f t="shared" si="17"/>
        <v>29301900</v>
      </c>
      <c r="O36" s="142">
        <f t="shared" si="18"/>
        <v>2285500</v>
      </c>
      <c r="P36" s="142">
        <f t="shared" si="19"/>
        <v>644600</v>
      </c>
      <c r="Q36" s="141">
        <v>2930100</v>
      </c>
    </row>
    <row r="37" spans="1:17" s="139" customFormat="1" ht="22.5" customHeight="1">
      <c r="A37" s="139">
        <v>202111</v>
      </c>
      <c r="B37" s="140">
        <v>44522</v>
      </c>
      <c r="C37" s="139" t="s">
        <v>13</v>
      </c>
      <c r="D37" s="139">
        <v>81178650660</v>
      </c>
      <c r="E37" s="139">
        <v>200</v>
      </c>
      <c r="F37" s="148">
        <f t="shared" ref="F37:F44" si="20">G37/E37</f>
        <v>37570.36</v>
      </c>
      <c r="G37" s="141">
        <v>7514072</v>
      </c>
      <c r="H37" s="141">
        <v>7514000</v>
      </c>
      <c r="I37" s="141">
        <v>751200</v>
      </c>
      <c r="J37" s="141">
        <v>0</v>
      </c>
      <c r="K37" s="142">
        <f t="shared" ref="K37:K44" si="21">ROUNDDOWN(H37*7.8/100,-2)</f>
        <v>586000</v>
      </c>
      <c r="L37" s="142">
        <f t="shared" ref="L37:L44" si="22">I37-K37</f>
        <v>165200</v>
      </c>
      <c r="M37" s="139">
        <v>0</v>
      </c>
      <c r="N37" s="142">
        <f t="shared" ref="N37:N44" si="23">ROUND(H37/E37*M37,-2)</f>
        <v>0</v>
      </c>
      <c r="O37" s="142">
        <f t="shared" ref="O37:O44" si="24">ROUNDDOWN(N37*7.8/100,-2)</f>
        <v>0</v>
      </c>
      <c r="P37" s="142">
        <f t="shared" ref="P37:P44" si="25">Q37-O37</f>
        <v>0</v>
      </c>
      <c r="Q37" s="141">
        <v>0</v>
      </c>
    </row>
    <row r="38" spans="1:17" s="139" customFormat="1" ht="22.5" customHeight="1">
      <c r="A38" s="139">
        <v>202111</v>
      </c>
      <c r="B38" s="140">
        <v>44530</v>
      </c>
      <c r="C38" s="139" t="s">
        <v>48</v>
      </c>
      <c r="D38" s="139">
        <v>81178798510</v>
      </c>
      <c r="E38" s="139">
        <v>1471.65</v>
      </c>
      <c r="F38" s="148">
        <f t="shared" si="20"/>
        <v>33544.865287262597</v>
      </c>
      <c r="G38" s="141">
        <v>49366301</v>
      </c>
      <c r="H38" s="141">
        <v>49366000</v>
      </c>
      <c r="I38" s="141">
        <v>4936500</v>
      </c>
      <c r="J38" s="141">
        <v>0</v>
      </c>
      <c r="K38" s="142">
        <f t="shared" si="21"/>
        <v>3850500</v>
      </c>
      <c r="L38" s="142">
        <f t="shared" si="22"/>
        <v>1086000</v>
      </c>
      <c r="M38" s="139">
        <v>0</v>
      </c>
      <c r="N38" s="142">
        <f t="shared" si="23"/>
        <v>0</v>
      </c>
      <c r="O38" s="142">
        <f t="shared" si="24"/>
        <v>0</v>
      </c>
      <c r="P38" s="142">
        <f t="shared" si="25"/>
        <v>0</v>
      </c>
      <c r="Q38" s="141">
        <v>0</v>
      </c>
    </row>
    <row r="39" spans="1:17" s="139" customFormat="1" ht="22.5" customHeight="1">
      <c r="A39" s="139">
        <v>202112</v>
      </c>
      <c r="B39" s="140">
        <v>44533</v>
      </c>
      <c r="C39" s="139" t="s">
        <v>13</v>
      </c>
      <c r="D39" s="139">
        <v>81178884610</v>
      </c>
      <c r="E39" s="139">
        <v>1150</v>
      </c>
      <c r="F39" s="148">
        <f t="shared" si="20"/>
        <v>38063.489565217395</v>
      </c>
      <c r="G39" s="141">
        <v>43773013</v>
      </c>
      <c r="H39" s="141">
        <v>43773000</v>
      </c>
      <c r="I39" s="141">
        <v>4377100</v>
      </c>
      <c r="J39" s="141">
        <v>0</v>
      </c>
      <c r="K39" s="142">
        <f t="shared" si="21"/>
        <v>3414200</v>
      </c>
      <c r="L39" s="142">
        <f t="shared" si="22"/>
        <v>962900</v>
      </c>
      <c r="M39" s="139">
        <v>0</v>
      </c>
      <c r="N39" s="142">
        <f t="shared" si="23"/>
        <v>0</v>
      </c>
      <c r="O39" s="142">
        <f t="shared" si="24"/>
        <v>0</v>
      </c>
      <c r="P39" s="142">
        <f t="shared" si="25"/>
        <v>0</v>
      </c>
      <c r="Q39" s="141">
        <v>0</v>
      </c>
    </row>
    <row r="40" spans="1:17" s="139" customFormat="1" ht="22.5" customHeight="1">
      <c r="A40" s="139">
        <v>202112</v>
      </c>
      <c r="B40" s="140">
        <v>44539</v>
      </c>
      <c r="C40" s="139" t="s">
        <v>13</v>
      </c>
      <c r="D40" s="139">
        <v>81179016100</v>
      </c>
      <c r="E40" s="139">
        <v>400</v>
      </c>
      <c r="F40" s="148">
        <f t="shared" si="20"/>
        <v>38259.014999999999</v>
      </c>
      <c r="G40" s="141">
        <v>15303606</v>
      </c>
      <c r="H40" s="141">
        <v>15303000</v>
      </c>
      <c r="I40" s="141">
        <v>1530200</v>
      </c>
      <c r="J40" s="141">
        <v>0</v>
      </c>
      <c r="K40" s="142">
        <f t="shared" si="21"/>
        <v>1193600</v>
      </c>
      <c r="L40" s="142">
        <f t="shared" si="22"/>
        <v>336600</v>
      </c>
      <c r="M40" s="139">
        <v>400</v>
      </c>
      <c r="N40" s="142">
        <f t="shared" si="23"/>
        <v>15303000</v>
      </c>
      <c r="O40" s="142">
        <f t="shared" si="24"/>
        <v>1193600</v>
      </c>
      <c r="P40" s="142">
        <f t="shared" si="25"/>
        <v>336600</v>
      </c>
      <c r="Q40" s="141">
        <v>1530200</v>
      </c>
    </row>
    <row r="41" spans="1:17" s="139" customFormat="1" ht="22.5" customHeight="1">
      <c r="A41" s="139">
        <v>202112</v>
      </c>
      <c r="B41" s="140">
        <v>44545</v>
      </c>
      <c r="C41" s="139" t="s">
        <v>48</v>
      </c>
      <c r="D41" s="139">
        <v>81179124930</v>
      </c>
      <c r="E41" s="139">
        <v>577.5</v>
      </c>
      <c r="F41" s="148">
        <f t="shared" si="20"/>
        <v>33280.732467532471</v>
      </c>
      <c r="G41" s="141">
        <v>19219623</v>
      </c>
      <c r="H41" s="141">
        <v>19219000</v>
      </c>
      <c r="I41" s="141">
        <v>1921700</v>
      </c>
      <c r="J41" s="141">
        <v>0</v>
      </c>
      <c r="K41" s="142">
        <f t="shared" si="21"/>
        <v>1499000</v>
      </c>
      <c r="L41" s="142">
        <f t="shared" si="22"/>
        <v>422700</v>
      </c>
      <c r="M41" s="139">
        <v>0</v>
      </c>
      <c r="N41" s="142">
        <f t="shared" si="23"/>
        <v>0</v>
      </c>
      <c r="O41" s="142">
        <f t="shared" si="24"/>
        <v>0</v>
      </c>
      <c r="P41" s="142">
        <f t="shared" si="25"/>
        <v>0</v>
      </c>
      <c r="Q41" s="141">
        <v>0</v>
      </c>
    </row>
    <row r="42" spans="1:17" s="139" customFormat="1" ht="22.5" customHeight="1">
      <c r="A42" s="139">
        <v>202112</v>
      </c>
      <c r="B42" s="140">
        <v>44547</v>
      </c>
      <c r="C42" s="139" t="s">
        <v>48</v>
      </c>
      <c r="D42" s="139">
        <v>81179200420</v>
      </c>
      <c r="E42" s="139">
        <v>250</v>
      </c>
      <c r="F42" s="148">
        <f t="shared" si="20"/>
        <v>34735.932000000001</v>
      </c>
      <c r="G42" s="141">
        <v>8683983</v>
      </c>
      <c r="H42" s="141">
        <v>8683000</v>
      </c>
      <c r="I42" s="141">
        <v>868200</v>
      </c>
      <c r="J42" s="141">
        <v>0</v>
      </c>
      <c r="K42" s="142">
        <f t="shared" si="21"/>
        <v>677200</v>
      </c>
      <c r="L42" s="142">
        <f t="shared" si="22"/>
        <v>191000</v>
      </c>
      <c r="M42" s="139">
        <v>250</v>
      </c>
      <c r="N42" s="142">
        <f t="shared" si="23"/>
        <v>8683000</v>
      </c>
      <c r="O42" s="142">
        <f t="shared" si="24"/>
        <v>677200</v>
      </c>
      <c r="P42" s="142">
        <f t="shared" si="25"/>
        <v>191000</v>
      </c>
      <c r="Q42" s="141">
        <v>868200</v>
      </c>
    </row>
    <row r="43" spans="1:17" s="139" customFormat="1" ht="22.5" customHeight="1">
      <c r="A43" s="139">
        <v>202112</v>
      </c>
      <c r="B43" s="140">
        <v>44550</v>
      </c>
      <c r="C43" s="139" t="s">
        <v>13</v>
      </c>
      <c r="D43" s="139">
        <v>81179221310</v>
      </c>
      <c r="E43" s="139">
        <v>1150</v>
      </c>
      <c r="F43" s="148">
        <f t="shared" si="20"/>
        <v>37187.739130434784</v>
      </c>
      <c r="G43" s="141">
        <v>42765900</v>
      </c>
      <c r="H43" s="141">
        <v>42765000</v>
      </c>
      <c r="I43" s="141">
        <v>4276400</v>
      </c>
      <c r="J43" s="141">
        <v>0</v>
      </c>
      <c r="K43" s="142">
        <f t="shared" si="21"/>
        <v>3335600</v>
      </c>
      <c r="L43" s="142">
        <f t="shared" si="22"/>
        <v>940800</v>
      </c>
      <c r="M43" s="139">
        <v>400</v>
      </c>
      <c r="N43" s="142">
        <f t="shared" si="23"/>
        <v>14874800</v>
      </c>
      <c r="O43" s="142">
        <f t="shared" si="24"/>
        <v>1160200</v>
      </c>
      <c r="P43" s="142">
        <f t="shared" si="25"/>
        <v>327250</v>
      </c>
      <c r="Q43" s="141">
        <v>1487450</v>
      </c>
    </row>
    <row r="44" spans="1:17" s="139" customFormat="1" ht="22.5" customHeight="1">
      <c r="A44" s="139">
        <v>202201</v>
      </c>
      <c r="B44" s="140">
        <v>44568</v>
      </c>
      <c r="C44" s="139" t="s">
        <v>13</v>
      </c>
      <c r="D44" s="139">
        <v>81179483110</v>
      </c>
      <c r="E44" s="139">
        <v>500</v>
      </c>
      <c r="F44" s="148">
        <f t="shared" si="20"/>
        <v>38369.99</v>
      </c>
      <c r="G44" s="141">
        <v>19184995</v>
      </c>
      <c r="H44" s="141">
        <v>19184000</v>
      </c>
      <c r="I44" s="141">
        <v>1918300</v>
      </c>
      <c r="J44" s="141">
        <v>0</v>
      </c>
      <c r="K44" s="142">
        <f t="shared" si="21"/>
        <v>1496300</v>
      </c>
      <c r="L44" s="142">
        <f t="shared" si="22"/>
        <v>422000</v>
      </c>
      <c r="M44" s="139">
        <v>0</v>
      </c>
      <c r="N44" s="142">
        <f t="shared" si="23"/>
        <v>0</v>
      </c>
      <c r="O44" s="142">
        <f t="shared" si="24"/>
        <v>0</v>
      </c>
      <c r="P44" s="142">
        <f t="shared" si="25"/>
        <v>0</v>
      </c>
      <c r="Q44" s="141">
        <v>0</v>
      </c>
    </row>
    <row r="45" spans="1:17" s="139" customFormat="1" ht="22.5" customHeight="1">
      <c r="A45" s="139">
        <v>202201</v>
      </c>
      <c r="B45" s="140">
        <v>44575</v>
      </c>
      <c r="C45" s="139" t="s">
        <v>13</v>
      </c>
      <c r="D45" s="139">
        <v>81179621340</v>
      </c>
      <c r="E45" s="139">
        <v>1010</v>
      </c>
      <c r="F45" s="148">
        <f t="shared" ref="F45:F52" si="26">G45/E45</f>
        <v>38632.252475247522</v>
      </c>
      <c r="G45" s="141">
        <v>39018575</v>
      </c>
      <c r="H45" s="141">
        <v>39018000</v>
      </c>
      <c r="I45" s="141">
        <v>3901700</v>
      </c>
      <c r="J45" s="141">
        <v>0</v>
      </c>
      <c r="K45" s="142">
        <f t="shared" ref="K45:K52" si="27">ROUNDDOWN(H45*7.8/100,-2)</f>
        <v>3043400</v>
      </c>
      <c r="L45" s="142">
        <f t="shared" ref="L45:L52" si="28">I45-K45</f>
        <v>858300</v>
      </c>
      <c r="M45" s="139">
        <v>450</v>
      </c>
      <c r="N45" s="142">
        <f t="shared" ref="N45:N52" si="29">ROUND(H45/E45*M45,-2)</f>
        <v>17384300</v>
      </c>
      <c r="O45" s="142">
        <f t="shared" ref="O45:O52" si="30">ROUNDDOWN(N45*7.8/100,-2)</f>
        <v>1355900</v>
      </c>
      <c r="P45" s="142">
        <f t="shared" ref="P45:P52" si="31">Q45-O45</f>
        <v>382500</v>
      </c>
      <c r="Q45" s="141">
        <v>1738400</v>
      </c>
    </row>
    <row r="46" spans="1:17" s="139" customFormat="1" ht="22.5" customHeight="1">
      <c r="A46" s="139">
        <v>202201</v>
      </c>
      <c r="B46" s="140">
        <v>44588</v>
      </c>
      <c r="C46" s="139" t="s">
        <v>13</v>
      </c>
      <c r="D46" s="139">
        <v>81179886310</v>
      </c>
      <c r="E46" s="139">
        <v>1710</v>
      </c>
      <c r="F46" s="148">
        <f t="shared" si="26"/>
        <v>39038.422807017545</v>
      </c>
      <c r="G46" s="141">
        <v>66755703</v>
      </c>
      <c r="H46" s="141">
        <v>66755000</v>
      </c>
      <c r="I46" s="141">
        <v>6675300</v>
      </c>
      <c r="J46" s="141">
        <v>0</v>
      </c>
      <c r="K46" s="142">
        <f t="shared" si="27"/>
        <v>5206800</v>
      </c>
      <c r="L46" s="142">
        <f t="shared" si="28"/>
        <v>1468500</v>
      </c>
      <c r="M46" s="139">
        <v>700</v>
      </c>
      <c r="N46" s="142">
        <f t="shared" si="29"/>
        <v>27326600</v>
      </c>
      <c r="O46" s="142">
        <f t="shared" si="30"/>
        <v>2131400</v>
      </c>
      <c r="P46" s="142">
        <f t="shared" si="31"/>
        <v>601200</v>
      </c>
      <c r="Q46" s="141">
        <v>2732600</v>
      </c>
    </row>
    <row r="47" spans="1:17" s="139" customFormat="1" ht="22.5" customHeight="1">
      <c r="A47" s="139">
        <v>202201</v>
      </c>
      <c r="B47" s="140">
        <v>44592</v>
      </c>
      <c r="C47" s="139" t="s">
        <v>48</v>
      </c>
      <c r="D47" s="139">
        <v>81179952810</v>
      </c>
      <c r="E47" s="139">
        <v>1000</v>
      </c>
      <c r="F47" s="148">
        <f t="shared" si="26"/>
        <v>36151.271000000001</v>
      </c>
      <c r="G47" s="141">
        <v>36151271</v>
      </c>
      <c r="H47" s="141">
        <v>36151000</v>
      </c>
      <c r="I47" s="141">
        <v>3615000</v>
      </c>
      <c r="J47" s="141">
        <v>0</v>
      </c>
      <c r="K47" s="142">
        <f t="shared" si="27"/>
        <v>2819700</v>
      </c>
      <c r="L47" s="142">
        <f t="shared" si="28"/>
        <v>795300</v>
      </c>
      <c r="M47" s="139">
        <v>0</v>
      </c>
      <c r="N47" s="142">
        <f t="shared" si="29"/>
        <v>0</v>
      </c>
      <c r="O47" s="142">
        <f t="shared" si="30"/>
        <v>0</v>
      </c>
      <c r="P47" s="142">
        <f t="shared" si="31"/>
        <v>0</v>
      </c>
      <c r="Q47" s="141">
        <v>0</v>
      </c>
    </row>
    <row r="48" spans="1:17" s="139" customFormat="1" ht="22.5" customHeight="1">
      <c r="A48" s="139">
        <v>202202</v>
      </c>
      <c r="B48" s="140">
        <v>44601</v>
      </c>
      <c r="C48" s="139" t="s">
        <v>48</v>
      </c>
      <c r="D48" s="139">
        <v>81180192060</v>
      </c>
      <c r="E48" s="139">
        <v>252</v>
      </c>
      <c r="F48" s="148">
        <f t="shared" si="26"/>
        <v>34289.710317460318</v>
      </c>
      <c r="G48" s="141">
        <v>8641007</v>
      </c>
      <c r="H48" s="141">
        <v>8641000</v>
      </c>
      <c r="I48" s="141">
        <v>863900</v>
      </c>
      <c r="J48" s="141">
        <v>0</v>
      </c>
      <c r="K48" s="142">
        <f t="shared" si="27"/>
        <v>673900</v>
      </c>
      <c r="L48" s="142">
        <f t="shared" si="28"/>
        <v>190000</v>
      </c>
      <c r="M48" s="139">
        <v>252</v>
      </c>
      <c r="N48" s="142">
        <f t="shared" si="29"/>
        <v>8641000</v>
      </c>
      <c r="O48" s="142">
        <f t="shared" si="30"/>
        <v>673900</v>
      </c>
      <c r="P48" s="142">
        <f t="shared" si="31"/>
        <v>190000</v>
      </c>
      <c r="Q48" s="141">
        <v>863900</v>
      </c>
    </row>
    <row r="49" spans="1:17" s="139" customFormat="1" ht="22.5" customHeight="1">
      <c r="A49" s="139">
        <v>202202</v>
      </c>
      <c r="B49" s="140">
        <v>44602</v>
      </c>
      <c r="C49" s="139" t="s">
        <v>48</v>
      </c>
      <c r="D49" s="139">
        <v>81180236420</v>
      </c>
      <c r="E49" s="139">
        <v>600</v>
      </c>
      <c r="F49" s="148">
        <f t="shared" si="26"/>
        <v>34289.71166666667</v>
      </c>
      <c r="G49" s="141">
        <v>20573827</v>
      </c>
      <c r="H49" s="141">
        <v>20573000</v>
      </c>
      <c r="I49" s="141">
        <v>2057100</v>
      </c>
      <c r="J49" s="141">
        <v>0</v>
      </c>
      <c r="K49" s="142">
        <f t="shared" si="27"/>
        <v>1604600</v>
      </c>
      <c r="L49" s="142">
        <f t="shared" si="28"/>
        <v>452500</v>
      </c>
      <c r="M49" s="139">
        <v>0</v>
      </c>
      <c r="N49" s="142">
        <f t="shared" si="29"/>
        <v>0</v>
      </c>
      <c r="O49" s="142">
        <f t="shared" si="30"/>
        <v>0</v>
      </c>
      <c r="P49" s="142">
        <f t="shared" si="31"/>
        <v>0</v>
      </c>
      <c r="Q49" s="141">
        <v>0</v>
      </c>
    </row>
    <row r="50" spans="1:17" s="139" customFormat="1" ht="22.5" customHeight="1">
      <c r="A50" s="139">
        <v>202202</v>
      </c>
      <c r="B50" s="140">
        <v>44607</v>
      </c>
      <c r="C50" s="139" t="s">
        <v>13</v>
      </c>
      <c r="D50" s="139">
        <v>81180366950</v>
      </c>
      <c r="E50" s="139">
        <v>1660</v>
      </c>
      <c r="F50" s="148">
        <f t="shared" si="26"/>
        <v>42405.645180722895</v>
      </c>
      <c r="G50" s="141">
        <v>70393371</v>
      </c>
      <c r="H50" s="141">
        <v>70393000</v>
      </c>
      <c r="I50" s="141">
        <v>7039200</v>
      </c>
      <c r="J50" s="141">
        <v>0</v>
      </c>
      <c r="K50" s="142">
        <f t="shared" si="27"/>
        <v>5490600</v>
      </c>
      <c r="L50" s="142">
        <f t="shared" si="28"/>
        <v>1548600</v>
      </c>
      <c r="M50" s="139">
        <v>700</v>
      </c>
      <c r="N50" s="142">
        <f t="shared" si="29"/>
        <v>29683800</v>
      </c>
      <c r="O50" s="142">
        <f t="shared" si="30"/>
        <v>2315300</v>
      </c>
      <c r="P50" s="142">
        <f t="shared" si="31"/>
        <v>653100</v>
      </c>
      <c r="Q50" s="141">
        <v>2968400</v>
      </c>
    </row>
    <row r="51" spans="1:17" ht="22.5" customHeight="1">
      <c r="A51" s="123">
        <v>202203</v>
      </c>
      <c r="B51" s="124">
        <v>44629</v>
      </c>
      <c r="C51" s="123" t="s">
        <v>13</v>
      </c>
      <c r="D51" s="123">
        <v>81180768640</v>
      </c>
      <c r="E51" s="123">
        <v>700</v>
      </c>
      <c r="F51" s="137">
        <f t="shared" si="26"/>
        <v>38145.682857142856</v>
      </c>
      <c r="G51" s="125">
        <v>26701978</v>
      </c>
      <c r="H51" s="125">
        <v>26701000</v>
      </c>
      <c r="I51" s="125">
        <v>2670000</v>
      </c>
      <c r="J51" s="125">
        <v>0</v>
      </c>
      <c r="K51" s="126">
        <f t="shared" si="27"/>
        <v>2082600</v>
      </c>
      <c r="L51" s="126">
        <f t="shared" si="28"/>
        <v>587400</v>
      </c>
      <c r="M51" s="123">
        <v>700</v>
      </c>
      <c r="N51" s="126">
        <f t="shared" si="29"/>
        <v>26701000</v>
      </c>
      <c r="O51" s="126">
        <f t="shared" si="30"/>
        <v>2082600</v>
      </c>
      <c r="P51" s="126">
        <f t="shared" si="31"/>
        <v>587400</v>
      </c>
      <c r="Q51" s="125">
        <v>2670000</v>
      </c>
    </row>
    <row r="52" spans="1:17" ht="22.5" customHeight="1">
      <c r="A52" s="123">
        <v>202203</v>
      </c>
      <c r="B52" s="124">
        <v>44636</v>
      </c>
      <c r="C52" s="123" t="s">
        <v>13</v>
      </c>
      <c r="D52" s="123">
        <v>81180910040</v>
      </c>
      <c r="E52" s="123">
        <v>1900</v>
      </c>
      <c r="F52" s="137">
        <f t="shared" si="26"/>
        <v>38245.144210526312</v>
      </c>
      <c r="G52" s="125">
        <v>72665774</v>
      </c>
      <c r="H52" s="125">
        <v>72665000</v>
      </c>
      <c r="I52" s="125">
        <v>7266400</v>
      </c>
      <c r="J52" s="125">
        <v>0</v>
      </c>
      <c r="K52" s="126">
        <f t="shared" si="27"/>
        <v>5667800</v>
      </c>
      <c r="L52" s="126">
        <f t="shared" si="28"/>
        <v>1598600</v>
      </c>
      <c r="M52" s="123">
        <v>0</v>
      </c>
      <c r="N52" s="126">
        <f t="shared" si="29"/>
        <v>0</v>
      </c>
      <c r="O52" s="126">
        <f t="shared" si="30"/>
        <v>0</v>
      </c>
      <c r="P52" s="126">
        <f t="shared" si="31"/>
        <v>0</v>
      </c>
      <c r="Q52" s="125">
        <v>0</v>
      </c>
    </row>
    <row r="53" spans="1:17" ht="29.25" customHeight="1">
      <c r="N53" s="127"/>
      <c r="O53" s="126">
        <f>SUM(O4:O52)</f>
        <v>31440900</v>
      </c>
      <c r="P53" s="126">
        <f>SUM(P4:P52)</f>
        <v>8867850</v>
      </c>
      <c r="Q53" s="125">
        <f>SUM(Q4:Q52)</f>
        <v>40308750</v>
      </c>
    </row>
  </sheetData>
  <autoFilter ref="A3:Q53" xr:uid="{7FF02D80-10B7-45F2-B0EC-AD9433041671}"/>
  <phoneticPr fontId="1"/>
  <pageMargins left="0.7" right="0.7" top="0.75" bottom="0.75" header="0.3" footer="0.3"/>
  <pageSetup paperSize="9" scale="56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7D96-0530-4FE0-BFCA-075329F288FC}">
  <sheetPr>
    <pageSetUpPr fitToPage="1"/>
  </sheetPr>
  <dimension ref="A1:O29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5" sqref="E15"/>
    </sheetView>
  </sheetViews>
  <sheetFormatPr defaultRowHeight="14.25"/>
  <cols>
    <col min="1" max="1" width="9.875" style="123" bestFit="1" customWidth="1"/>
    <col min="2" max="2" width="13.25" style="124" bestFit="1" customWidth="1"/>
    <col min="3" max="3" width="9.5" style="123" customWidth="1"/>
    <col min="4" max="4" width="14.5" style="123" bestFit="1" customWidth="1"/>
    <col min="5" max="5" width="11.625" style="123" customWidth="1"/>
    <col min="6" max="6" width="14.375" style="125" customWidth="1"/>
    <col min="7" max="7" width="9.625" style="138" customWidth="1"/>
    <col min="8" max="8" width="11" style="125" bestFit="1" customWidth="1"/>
    <col min="9" max="9" width="12.875" style="125" customWidth="1"/>
    <col min="10" max="10" width="14.75" style="125" customWidth="1"/>
    <col min="11" max="11" width="11.375" style="123" customWidth="1"/>
    <col min="12" max="12" width="12" style="123" bestFit="1" customWidth="1"/>
    <col min="13" max="14" width="16.75" style="125" customWidth="1"/>
    <col min="15" max="15" width="11.625" style="125" bestFit="1" customWidth="1"/>
    <col min="16" max="16384" width="9" style="123"/>
  </cols>
  <sheetData>
    <row r="1" spans="1:15" s="116" customFormat="1" ht="42.75">
      <c r="A1" s="116" t="s">
        <v>54</v>
      </c>
      <c r="B1" s="117" t="s">
        <v>49</v>
      </c>
      <c r="C1" s="116" t="s">
        <v>50</v>
      </c>
      <c r="D1" s="116" t="s">
        <v>51</v>
      </c>
      <c r="E1" s="118" t="s">
        <v>77</v>
      </c>
      <c r="F1" s="119" t="s">
        <v>78</v>
      </c>
      <c r="G1" s="136" t="s">
        <v>94</v>
      </c>
      <c r="H1" s="119" t="s">
        <v>79</v>
      </c>
      <c r="I1" s="119" t="s">
        <v>80</v>
      </c>
      <c r="J1" s="119" t="s">
        <v>81</v>
      </c>
      <c r="K1" s="120" t="s">
        <v>82</v>
      </c>
      <c r="L1" s="120" t="s">
        <v>83</v>
      </c>
      <c r="M1" s="121" t="s">
        <v>80</v>
      </c>
      <c r="N1" s="121" t="s">
        <v>81</v>
      </c>
      <c r="O1" s="122" t="s">
        <v>84</v>
      </c>
    </row>
    <row r="2" spans="1:15" ht="22.5" customHeight="1">
      <c r="A2" s="123">
        <v>202004</v>
      </c>
      <c r="B2" s="124">
        <v>43923</v>
      </c>
      <c r="C2" s="123" t="s">
        <v>13</v>
      </c>
      <c r="D2" s="123">
        <v>81165843610</v>
      </c>
      <c r="E2" s="123">
        <v>30</v>
      </c>
      <c r="F2" s="125">
        <v>712230</v>
      </c>
      <c r="G2" s="137">
        <f>F2/E2</f>
        <v>23741</v>
      </c>
      <c r="H2" s="125">
        <v>71100</v>
      </c>
      <c r="I2" s="125">
        <v>55500</v>
      </c>
      <c r="J2" s="125">
        <f t="shared" ref="J2:J28" si="0">H2-I2</f>
        <v>15600</v>
      </c>
      <c r="K2" s="123">
        <v>30</v>
      </c>
      <c r="L2" s="125">
        <f t="shared" ref="L2:L28" si="1">ROUND(F2/E2*K2,-2)</f>
        <v>712200</v>
      </c>
      <c r="M2" s="125">
        <f>ROUNDDOWN(L2*7.8/100,-2)</f>
        <v>55500</v>
      </c>
      <c r="N2" s="125">
        <f t="shared" ref="N2:N28" si="2">O2-M2</f>
        <v>15600</v>
      </c>
      <c r="O2" s="125">
        <v>71100</v>
      </c>
    </row>
    <row r="3" spans="1:15" ht="22.5" customHeight="1">
      <c r="A3" s="123">
        <v>202004</v>
      </c>
      <c r="B3" s="124">
        <v>43937</v>
      </c>
      <c r="C3" s="123" t="s">
        <v>13</v>
      </c>
      <c r="D3" s="123">
        <v>81166181120</v>
      </c>
      <c r="E3" s="123">
        <v>710</v>
      </c>
      <c r="F3" s="125">
        <v>16810770</v>
      </c>
      <c r="G3" s="137">
        <f t="shared" ref="G3:G28" si="3">F3/E3</f>
        <v>23677.140845070422</v>
      </c>
      <c r="H3" s="125">
        <v>1680800</v>
      </c>
      <c r="I3" s="125">
        <v>1311100</v>
      </c>
      <c r="J3" s="125">
        <f t="shared" si="0"/>
        <v>369700</v>
      </c>
      <c r="K3" s="123">
        <v>210</v>
      </c>
      <c r="L3" s="125">
        <f t="shared" si="1"/>
        <v>4972200</v>
      </c>
      <c r="M3" s="125">
        <f t="shared" ref="M3:M28" si="4">ROUNDDOWN(L3*7.8/100,-2)</f>
        <v>387800</v>
      </c>
      <c r="N3" s="125">
        <f t="shared" si="2"/>
        <v>109300</v>
      </c>
      <c r="O3" s="125">
        <v>497100</v>
      </c>
    </row>
    <row r="4" spans="1:15" ht="22.5" customHeight="1">
      <c r="A4" s="123">
        <v>202005</v>
      </c>
      <c r="B4" s="124">
        <v>43962</v>
      </c>
      <c r="C4" s="123" t="s">
        <v>13</v>
      </c>
      <c r="D4" s="123">
        <v>81166709360</v>
      </c>
      <c r="E4" s="123">
        <v>1860</v>
      </c>
      <c r="F4" s="125">
        <v>44335517</v>
      </c>
      <c r="G4" s="137">
        <f t="shared" si="3"/>
        <v>23836.29946236559</v>
      </c>
      <c r="H4" s="125">
        <v>4433400</v>
      </c>
      <c r="I4" s="125">
        <v>3458100</v>
      </c>
      <c r="J4" s="125">
        <f t="shared" si="0"/>
        <v>975300</v>
      </c>
      <c r="K4" s="123">
        <v>710</v>
      </c>
      <c r="L4" s="125">
        <f t="shared" si="1"/>
        <v>16923800</v>
      </c>
      <c r="M4" s="125">
        <f t="shared" si="4"/>
        <v>1320000</v>
      </c>
      <c r="N4" s="125">
        <f t="shared" si="2"/>
        <v>372300</v>
      </c>
      <c r="O4" s="125">
        <v>1692300</v>
      </c>
    </row>
    <row r="5" spans="1:15" ht="22.5" customHeight="1">
      <c r="A5" s="123">
        <v>202005</v>
      </c>
      <c r="B5" s="124">
        <v>43970</v>
      </c>
      <c r="C5" s="123" t="s">
        <v>48</v>
      </c>
      <c r="D5" s="123">
        <v>81166962910</v>
      </c>
      <c r="E5" s="123">
        <v>273</v>
      </c>
      <c r="F5" s="125">
        <v>6738717</v>
      </c>
      <c r="G5" s="137">
        <f t="shared" si="3"/>
        <v>24683.945054945056</v>
      </c>
      <c r="H5" s="125">
        <v>673700</v>
      </c>
      <c r="I5" s="125">
        <v>525500</v>
      </c>
      <c r="J5" s="125">
        <f t="shared" si="0"/>
        <v>148200</v>
      </c>
      <c r="K5" s="123">
        <v>273</v>
      </c>
      <c r="L5" s="125">
        <f t="shared" si="1"/>
        <v>6738700</v>
      </c>
      <c r="M5" s="126">
        <f>ROUNDDOWN(L5*7.8/100,-2)-100</f>
        <v>525500</v>
      </c>
      <c r="N5" s="125">
        <f t="shared" si="2"/>
        <v>148200</v>
      </c>
      <c r="O5" s="125">
        <v>673700</v>
      </c>
    </row>
    <row r="6" spans="1:15" ht="22.5" customHeight="1">
      <c r="A6" s="123">
        <v>202006</v>
      </c>
      <c r="B6" s="124">
        <v>43984</v>
      </c>
      <c r="C6" s="123" t="s">
        <v>13</v>
      </c>
      <c r="D6" s="123">
        <v>81167269400</v>
      </c>
      <c r="E6" s="123">
        <v>1550</v>
      </c>
      <c r="F6" s="125">
        <v>32562163</v>
      </c>
      <c r="G6" s="137">
        <f t="shared" si="3"/>
        <v>21007.847096774192</v>
      </c>
      <c r="H6" s="125">
        <v>3256100</v>
      </c>
      <c r="I6" s="125">
        <v>2539800</v>
      </c>
      <c r="J6" s="125">
        <f t="shared" si="0"/>
        <v>716300</v>
      </c>
      <c r="K6" s="123">
        <v>500</v>
      </c>
      <c r="L6" s="125">
        <f t="shared" si="1"/>
        <v>10503900</v>
      </c>
      <c r="M6" s="125">
        <f t="shared" si="4"/>
        <v>819300</v>
      </c>
      <c r="N6" s="125">
        <f t="shared" si="2"/>
        <v>231100</v>
      </c>
      <c r="O6" s="125">
        <v>1050400</v>
      </c>
    </row>
    <row r="7" spans="1:15" ht="22.5" customHeight="1">
      <c r="A7" s="123">
        <v>202006</v>
      </c>
      <c r="B7" s="124">
        <v>43984</v>
      </c>
      <c r="C7" s="123" t="s">
        <v>13</v>
      </c>
      <c r="D7" s="123">
        <v>81167269510</v>
      </c>
      <c r="E7" s="123">
        <v>260</v>
      </c>
      <c r="F7" s="125">
        <v>5358313</v>
      </c>
      <c r="G7" s="137">
        <f t="shared" si="3"/>
        <v>20608.896153846155</v>
      </c>
      <c r="H7" s="125">
        <v>535700</v>
      </c>
      <c r="I7" s="125">
        <v>417900</v>
      </c>
      <c r="J7" s="125">
        <f t="shared" si="0"/>
        <v>117800</v>
      </c>
      <c r="K7" s="123">
        <v>260</v>
      </c>
      <c r="L7" s="125">
        <f t="shared" si="1"/>
        <v>5358300</v>
      </c>
      <c r="M7" s="125">
        <f t="shared" si="4"/>
        <v>417900</v>
      </c>
      <c r="N7" s="125">
        <f t="shared" si="2"/>
        <v>117800</v>
      </c>
      <c r="O7" s="125">
        <v>535700</v>
      </c>
    </row>
    <row r="8" spans="1:15" ht="22.5" customHeight="1">
      <c r="A8" s="123">
        <v>202006</v>
      </c>
      <c r="B8" s="124">
        <v>43999</v>
      </c>
      <c r="C8" s="123" t="s">
        <v>47</v>
      </c>
      <c r="D8" s="123">
        <v>81167661950</v>
      </c>
      <c r="E8" s="123">
        <v>1590</v>
      </c>
      <c r="F8" s="125">
        <v>34028642</v>
      </c>
      <c r="G8" s="137">
        <f t="shared" si="3"/>
        <v>21401.661635220127</v>
      </c>
      <c r="H8" s="125">
        <v>3402600</v>
      </c>
      <c r="I8" s="125">
        <v>2654100</v>
      </c>
      <c r="J8" s="125">
        <f t="shared" si="0"/>
        <v>748500</v>
      </c>
      <c r="K8" s="123">
        <v>460</v>
      </c>
      <c r="L8" s="125">
        <f t="shared" si="1"/>
        <v>9844800</v>
      </c>
      <c r="M8" s="125">
        <f t="shared" si="4"/>
        <v>767800</v>
      </c>
      <c r="N8" s="125">
        <f t="shared" si="2"/>
        <v>216600</v>
      </c>
      <c r="O8" s="125">
        <v>984400</v>
      </c>
    </row>
    <row r="9" spans="1:15" ht="22.5" customHeight="1">
      <c r="A9" s="123">
        <v>202007</v>
      </c>
      <c r="B9" s="124">
        <v>44018</v>
      </c>
      <c r="C9" s="123" t="s">
        <v>48</v>
      </c>
      <c r="D9" s="123">
        <v>81168066220</v>
      </c>
      <c r="E9" s="123">
        <v>210</v>
      </c>
      <c r="F9" s="125">
        <v>4750495</v>
      </c>
      <c r="G9" s="137">
        <f t="shared" si="3"/>
        <v>22621.404761904763</v>
      </c>
      <c r="H9" s="125">
        <v>475000</v>
      </c>
      <c r="I9" s="125">
        <f t="shared" ref="I9" si="5">ROUNDUP(H9*0.78,-1)</f>
        <v>370500</v>
      </c>
      <c r="J9" s="125">
        <f t="shared" si="0"/>
        <v>104500</v>
      </c>
      <c r="K9" s="123">
        <v>210</v>
      </c>
      <c r="L9" s="125">
        <f t="shared" si="1"/>
        <v>4750500</v>
      </c>
      <c r="M9" s="125">
        <f t="shared" si="4"/>
        <v>370500</v>
      </c>
      <c r="N9" s="125">
        <f t="shared" si="2"/>
        <v>104500</v>
      </c>
      <c r="O9" s="125">
        <v>475000</v>
      </c>
    </row>
    <row r="10" spans="1:15" ht="22.5" customHeight="1">
      <c r="A10" s="123">
        <v>202007</v>
      </c>
      <c r="B10" s="124">
        <v>44021</v>
      </c>
      <c r="C10" s="123" t="s">
        <v>47</v>
      </c>
      <c r="D10" s="123">
        <v>81168162560</v>
      </c>
      <c r="E10" s="123">
        <v>1460</v>
      </c>
      <c r="F10" s="125">
        <v>29699835</v>
      </c>
      <c r="G10" s="137">
        <f t="shared" si="3"/>
        <v>20342.352739726026</v>
      </c>
      <c r="H10" s="125">
        <v>2969800</v>
      </c>
      <c r="I10" s="125">
        <v>2316500</v>
      </c>
      <c r="J10" s="125">
        <f t="shared" si="0"/>
        <v>653300</v>
      </c>
      <c r="K10" s="123">
        <v>450</v>
      </c>
      <c r="L10" s="125">
        <f t="shared" si="1"/>
        <v>9154100</v>
      </c>
      <c r="M10" s="125">
        <f t="shared" si="4"/>
        <v>714000</v>
      </c>
      <c r="N10" s="125">
        <f t="shared" si="2"/>
        <v>201300</v>
      </c>
      <c r="O10" s="125">
        <v>915300</v>
      </c>
    </row>
    <row r="11" spans="1:15" ht="22.5" customHeight="1">
      <c r="A11" s="123">
        <v>202007</v>
      </c>
      <c r="B11" s="124">
        <v>44039</v>
      </c>
      <c r="C11" s="123" t="s">
        <v>47</v>
      </c>
      <c r="D11" s="123">
        <v>81168485410</v>
      </c>
      <c r="E11" s="123">
        <v>1420</v>
      </c>
      <c r="F11" s="125">
        <v>27096653</v>
      </c>
      <c r="G11" s="137">
        <f t="shared" si="3"/>
        <v>19082.150000000001</v>
      </c>
      <c r="H11" s="125">
        <v>2709400</v>
      </c>
      <c r="I11" s="125">
        <v>2113400</v>
      </c>
      <c r="J11" s="125">
        <f t="shared" si="0"/>
        <v>596000</v>
      </c>
      <c r="K11" s="123">
        <v>590</v>
      </c>
      <c r="L11" s="125">
        <f t="shared" si="1"/>
        <v>11258500</v>
      </c>
      <c r="M11" s="125">
        <f t="shared" si="4"/>
        <v>878100</v>
      </c>
      <c r="N11" s="125">
        <f t="shared" si="2"/>
        <v>247700</v>
      </c>
      <c r="O11" s="125">
        <v>1125800</v>
      </c>
    </row>
    <row r="12" spans="1:15" ht="22.5" customHeight="1">
      <c r="A12" s="123">
        <v>202008</v>
      </c>
      <c r="B12" s="124">
        <v>44061</v>
      </c>
      <c r="C12" s="123" t="s">
        <v>47</v>
      </c>
      <c r="D12" s="123">
        <v>81168949250</v>
      </c>
      <c r="E12" s="123">
        <v>1230</v>
      </c>
      <c r="F12" s="125">
        <v>24253935</v>
      </c>
      <c r="G12" s="137">
        <f t="shared" si="3"/>
        <v>19718.646341463416</v>
      </c>
      <c r="H12" s="125">
        <v>2425200</v>
      </c>
      <c r="I12" s="125">
        <v>1891700</v>
      </c>
      <c r="J12" s="125">
        <f t="shared" si="0"/>
        <v>533500</v>
      </c>
      <c r="K12" s="123">
        <v>360</v>
      </c>
      <c r="L12" s="125">
        <f t="shared" si="1"/>
        <v>7098700</v>
      </c>
      <c r="M12" s="125">
        <f t="shared" si="4"/>
        <v>553600</v>
      </c>
      <c r="N12" s="125">
        <f t="shared" si="2"/>
        <v>156200</v>
      </c>
      <c r="O12" s="125">
        <v>709800</v>
      </c>
    </row>
    <row r="13" spans="1:15" ht="22.5" customHeight="1">
      <c r="A13" s="123">
        <v>202009</v>
      </c>
      <c r="B13" s="124">
        <v>44085</v>
      </c>
      <c r="C13" s="123" t="s">
        <v>47</v>
      </c>
      <c r="D13" s="123">
        <v>81169543920</v>
      </c>
      <c r="E13" s="123">
        <v>1760</v>
      </c>
      <c r="F13" s="125">
        <v>35652041</v>
      </c>
      <c r="G13" s="137">
        <f t="shared" si="3"/>
        <v>20256.841477272726</v>
      </c>
      <c r="H13" s="125">
        <v>3565100</v>
      </c>
      <c r="I13" s="125">
        <v>2780800</v>
      </c>
      <c r="J13" s="125">
        <f t="shared" si="0"/>
        <v>784300</v>
      </c>
      <c r="K13" s="123">
        <v>530</v>
      </c>
      <c r="L13" s="125">
        <f t="shared" si="1"/>
        <v>10736100</v>
      </c>
      <c r="M13" s="125">
        <f t="shared" si="4"/>
        <v>837400</v>
      </c>
      <c r="N13" s="125">
        <f t="shared" si="2"/>
        <v>236200</v>
      </c>
      <c r="O13" s="125">
        <v>1073600</v>
      </c>
    </row>
    <row r="14" spans="1:15" ht="22.5" customHeight="1">
      <c r="A14" s="123">
        <v>202009</v>
      </c>
      <c r="B14" s="124">
        <v>44103</v>
      </c>
      <c r="C14" s="123" t="s">
        <v>48</v>
      </c>
      <c r="D14" s="123">
        <v>81169873400</v>
      </c>
      <c r="E14" s="123">
        <v>126</v>
      </c>
      <c r="F14" s="125">
        <v>3011492</v>
      </c>
      <c r="G14" s="137">
        <f t="shared" si="3"/>
        <v>23900.730158730159</v>
      </c>
      <c r="H14" s="125">
        <v>301000</v>
      </c>
      <c r="I14" s="125">
        <v>234800</v>
      </c>
      <c r="J14" s="125">
        <f t="shared" si="0"/>
        <v>66200</v>
      </c>
      <c r="K14" s="123">
        <v>126</v>
      </c>
      <c r="L14" s="125">
        <f t="shared" si="1"/>
        <v>3011500</v>
      </c>
      <c r="M14" s="125">
        <f t="shared" si="4"/>
        <v>234800</v>
      </c>
      <c r="N14" s="125">
        <f t="shared" si="2"/>
        <v>66200</v>
      </c>
      <c r="O14" s="125">
        <v>301000</v>
      </c>
    </row>
    <row r="15" spans="1:15" ht="22.5" customHeight="1">
      <c r="A15" s="123">
        <v>202010</v>
      </c>
      <c r="B15" s="124">
        <v>44109</v>
      </c>
      <c r="C15" s="123" t="s">
        <v>47</v>
      </c>
      <c r="D15" s="123">
        <v>81169997300</v>
      </c>
      <c r="E15" s="123">
        <v>1670</v>
      </c>
      <c r="F15" s="125">
        <v>33519985</v>
      </c>
      <c r="G15" s="137">
        <f t="shared" si="3"/>
        <v>20071.847305389223</v>
      </c>
      <c r="H15" s="125">
        <v>3351700</v>
      </c>
      <c r="I15" s="125">
        <v>2614400</v>
      </c>
      <c r="J15" s="125">
        <f t="shared" si="0"/>
        <v>737300</v>
      </c>
      <c r="K15" s="123">
        <v>600</v>
      </c>
      <c r="L15" s="125">
        <f t="shared" si="1"/>
        <v>12043100</v>
      </c>
      <c r="M15" s="125">
        <f t="shared" si="4"/>
        <v>939300</v>
      </c>
      <c r="N15" s="125">
        <f t="shared" si="2"/>
        <v>264900</v>
      </c>
      <c r="O15" s="125">
        <v>1204200</v>
      </c>
    </row>
    <row r="16" spans="1:15" ht="22.5" customHeight="1">
      <c r="A16" s="123">
        <v>202010</v>
      </c>
      <c r="B16" s="124">
        <v>44127</v>
      </c>
      <c r="C16" s="123" t="s">
        <v>47</v>
      </c>
      <c r="D16" s="123">
        <v>81170424520</v>
      </c>
      <c r="E16" s="123">
        <v>1660</v>
      </c>
      <c r="F16" s="125">
        <v>32776955</v>
      </c>
      <c r="G16" s="137">
        <f t="shared" si="3"/>
        <v>19745.153614457831</v>
      </c>
      <c r="H16" s="125">
        <v>3277500</v>
      </c>
      <c r="I16" s="125">
        <v>2556500</v>
      </c>
      <c r="J16" s="125">
        <f t="shared" si="0"/>
        <v>721000</v>
      </c>
      <c r="K16" s="123">
        <v>520</v>
      </c>
      <c r="L16" s="125">
        <f t="shared" si="1"/>
        <v>10267500</v>
      </c>
      <c r="M16" s="125">
        <f t="shared" si="4"/>
        <v>800800</v>
      </c>
      <c r="N16" s="125">
        <f t="shared" si="2"/>
        <v>225900</v>
      </c>
      <c r="O16" s="125">
        <v>1026700</v>
      </c>
    </row>
    <row r="17" spans="1:15" ht="22.5" customHeight="1">
      <c r="A17" s="123">
        <v>202011</v>
      </c>
      <c r="B17" s="124">
        <v>44152</v>
      </c>
      <c r="C17" s="123" t="s">
        <v>47</v>
      </c>
      <c r="D17" s="123">
        <v>81170971110</v>
      </c>
      <c r="E17" s="123">
        <v>1780</v>
      </c>
      <c r="F17" s="125">
        <v>36603386</v>
      </c>
      <c r="G17" s="137">
        <f t="shared" si="3"/>
        <v>20563.7</v>
      </c>
      <c r="H17" s="125">
        <v>3660200</v>
      </c>
      <c r="I17" s="125">
        <f t="shared" ref="I17" si="6">ROUNDUP(H17*0.78,-1)</f>
        <v>2854960</v>
      </c>
      <c r="J17" s="125">
        <f t="shared" si="0"/>
        <v>805240</v>
      </c>
      <c r="K17" s="123">
        <v>630</v>
      </c>
      <c r="L17" s="125">
        <f t="shared" si="1"/>
        <v>12955100</v>
      </c>
      <c r="M17" s="125">
        <f t="shared" si="4"/>
        <v>1010400</v>
      </c>
      <c r="N17" s="125">
        <f t="shared" si="2"/>
        <v>285100</v>
      </c>
      <c r="O17" s="125">
        <v>1295500</v>
      </c>
    </row>
    <row r="18" spans="1:15" ht="22.5" customHeight="1">
      <c r="A18" s="123">
        <v>202011</v>
      </c>
      <c r="B18" s="124">
        <v>44154</v>
      </c>
      <c r="C18" s="123" t="s">
        <v>48</v>
      </c>
      <c r="D18" s="123">
        <v>81171033300</v>
      </c>
      <c r="E18" s="123">
        <v>220</v>
      </c>
      <c r="F18" s="125">
        <v>5141565</v>
      </c>
      <c r="G18" s="137">
        <f t="shared" si="3"/>
        <v>23370.75</v>
      </c>
      <c r="H18" s="125">
        <v>513900</v>
      </c>
      <c r="I18" s="125">
        <v>400900</v>
      </c>
      <c r="J18" s="125">
        <f t="shared" si="0"/>
        <v>113000</v>
      </c>
      <c r="K18" s="123">
        <v>220</v>
      </c>
      <c r="L18" s="125">
        <f t="shared" si="1"/>
        <v>5141600</v>
      </c>
      <c r="M18" s="125">
        <v>400900</v>
      </c>
      <c r="N18" s="125">
        <f t="shared" si="2"/>
        <v>113000</v>
      </c>
      <c r="O18" s="125">
        <v>513900</v>
      </c>
    </row>
    <row r="19" spans="1:15" ht="22.5" customHeight="1">
      <c r="A19" s="123">
        <v>202012</v>
      </c>
      <c r="B19" s="124">
        <v>44172</v>
      </c>
      <c r="C19" s="123" t="s">
        <v>47</v>
      </c>
      <c r="D19" s="123">
        <v>81171393760</v>
      </c>
      <c r="E19" s="123">
        <v>350</v>
      </c>
      <c r="F19" s="125">
        <v>7744988</v>
      </c>
      <c r="G19" s="137">
        <f t="shared" si="3"/>
        <v>22128.537142857142</v>
      </c>
      <c r="H19" s="125">
        <v>774300</v>
      </c>
      <c r="I19" s="125">
        <v>604000</v>
      </c>
      <c r="J19" s="125">
        <f t="shared" si="0"/>
        <v>170300</v>
      </c>
      <c r="K19" s="123">
        <v>200</v>
      </c>
      <c r="L19" s="125">
        <f t="shared" si="1"/>
        <v>4425700</v>
      </c>
      <c r="M19" s="125">
        <f t="shared" si="4"/>
        <v>345200</v>
      </c>
      <c r="N19" s="125">
        <f t="shared" si="2"/>
        <v>97300</v>
      </c>
      <c r="O19" s="125">
        <v>442500</v>
      </c>
    </row>
    <row r="20" spans="1:15" ht="22.5" customHeight="1">
      <c r="A20" s="123">
        <v>202012</v>
      </c>
      <c r="B20" s="124">
        <v>44175</v>
      </c>
      <c r="C20" s="123" t="s">
        <v>47</v>
      </c>
      <c r="D20" s="123">
        <v>81171493310</v>
      </c>
      <c r="E20" s="123">
        <v>1230</v>
      </c>
      <c r="F20" s="125">
        <v>27218105</v>
      </c>
      <c r="G20" s="137">
        <f t="shared" si="3"/>
        <v>22128.540650406503</v>
      </c>
      <c r="H20" s="125">
        <v>2721700</v>
      </c>
      <c r="I20" s="125">
        <v>2123000</v>
      </c>
      <c r="J20" s="125">
        <f t="shared" si="0"/>
        <v>598700</v>
      </c>
      <c r="K20" s="123">
        <v>480</v>
      </c>
      <c r="L20" s="125">
        <f t="shared" si="1"/>
        <v>10621700</v>
      </c>
      <c r="M20" s="125">
        <f t="shared" si="4"/>
        <v>828400</v>
      </c>
      <c r="N20" s="125">
        <f t="shared" si="2"/>
        <v>233800</v>
      </c>
      <c r="O20" s="125">
        <v>1062200</v>
      </c>
    </row>
    <row r="21" spans="1:15" ht="22.5" customHeight="1">
      <c r="A21" s="123">
        <v>202012</v>
      </c>
      <c r="B21" s="124">
        <v>44189</v>
      </c>
      <c r="C21" s="123" t="s">
        <v>47</v>
      </c>
      <c r="D21" s="123">
        <v>81171766530</v>
      </c>
      <c r="E21" s="123">
        <v>2030</v>
      </c>
      <c r="F21" s="125">
        <v>44092225</v>
      </c>
      <c r="G21" s="137">
        <f t="shared" si="3"/>
        <v>21720.307881773399</v>
      </c>
      <c r="H21" s="125">
        <v>4409100</v>
      </c>
      <c r="I21" s="125">
        <f t="shared" ref="I21" si="7">ROUNDUP(H21*0.78,-1)</f>
        <v>3439100</v>
      </c>
      <c r="J21" s="125">
        <f t="shared" si="0"/>
        <v>970000</v>
      </c>
      <c r="K21" s="123">
        <v>550</v>
      </c>
      <c r="L21" s="125">
        <f t="shared" si="1"/>
        <v>11946200</v>
      </c>
      <c r="M21" s="125">
        <f t="shared" si="4"/>
        <v>931800</v>
      </c>
      <c r="N21" s="125">
        <f t="shared" si="2"/>
        <v>262800</v>
      </c>
      <c r="O21" s="125">
        <v>1194600</v>
      </c>
    </row>
    <row r="22" spans="1:15" ht="22.5" customHeight="1">
      <c r="A22" s="123">
        <v>202101</v>
      </c>
      <c r="B22" s="124">
        <v>44218</v>
      </c>
      <c r="C22" s="123" t="s">
        <v>47</v>
      </c>
      <c r="D22" s="123">
        <v>81172250450</v>
      </c>
      <c r="E22" s="123">
        <v>900</v>
      </c>
      <c r="F22" s="125">
        <v>22552516</v>
      </c>
      <c r="G22" s="137">
        <f t="shared" si="3"/>
        <v>25058.351111111111</v>
      </c>
      <c r="H22" s="125">
        <v>2255100</v>
      </c>
      <c r="I22" s="125">
        <v>1759000</v>
      </c>
      <c r="J22" s="125">
        <f t="shared" si="0"/>
        <v>496100</v>
      </c>
      <c r="K22" s="123">
        <v>475</v>
      </c>
      <c r="L22" s="125">
        <f t="shared" si="1"/>
        <v>11902700</v>
      </c>
      <c r="M22" s="125">
        <f t="shared" si="4"/>
        <v>928400</v>
      </c>
      <c r="N22" s="125">
        <f t="shared" si="2"/>
        <v>261800</v>
      </c>
      <c r="O22" s="125">
        <v>1190200</v>
      </c>
    </row>
    <row r="23" spans="1:15" ht="22.5" customHeight="1">
      <c r="A23" s="123">
        <v>202101</v>
      </c>
      <c r="B23" s="124">
        <v>44224</v>
      </c>
      <c r="C23" s="123" t="s">
        <v>47</v>
      </c>
      <c r="D23" s="123">
        <v>81172388460</v>
      </c>
      <c r="E23" s="123">
        <v>1700</v>
      </c>
      <c r="F23" s="125">
        <v>42902698</v>
      </c>
      <c r="G23" s="137">
        <f t="shared" si="3"/>
        <v>25236.88117647059</v>
      </c>
      <c r="H23" s="125">
        <v>4290100</v>
      </c>
      <c r="I23" s="125">
        <v>3346300</v>
      </c>
      <c r="J23" s="125">
        <f t="shared" si="0"/>
        <v>943800</v>
      </c>
      <c r="K23" s="123">
        <v>475</v>
      </c>
      <c r="L23" s="125">
        <f t="shared" si="1"/>
        <v>11987500</v>
      </c>
      <c r="M23" s="125">
        <f t="shared" si="4"/>
        <v>935000</v>
      </c>
      <c r="N23" s="125">
        <f t="shared" si="2"/>
        <v>263700</v>
      </c>
      <c r="O23" s="125">
        <v>1198700</v>
      </c>
    </row>
    <row r="24" spans="1:15" ht="22.5" customHeight="1">
      <c r="A24" s="123">
        <v>202102</v>
      </c>
      <c r="B24" s="124">
        <v>44228</v>
      </c>
      <c r="C24" s="123" t="s">
        <v>48</v>
      </c>
      <c r="D24" s="123">
        <v>81172451350</v>
      </c>
      <c r="E24" s="123">
        <v>231</v>
      </c>
      <c r="F24" s="125">
        <v>5266206</v>
      </c>
      <c r="G24" s="137">
        <f t="shared" si="3"/>
        <v>22797.428571428572</v>
      </c>
      <c r="H24" s="125">
        <v>526500</v>
      </c>
      <c r="I24" s="125">
        <v>410700</v>
      </c>
      <c r="J24" s="125">
        <f t="shared" si="0"/>
        <v>115800</v>
      </c>
      <c r="K24" s="123">
        <v>231</v>
      </c>
      <c r="L24" s="125">
        <f t="shared" si="1"/>
        <v>5266200</v>
      </c>
      <c r="M24" s="125">
        <f t="shared" si="4"/>
        <v>410700</v>
      </c>
      <c r="N24" s="125">
        <f t="shared" si="2"/>
        <v>115800</v>
      </c>
      <c r="O24" s="125">
        <v>526500</v>
      </c>
    </row>
    <row r="25" spans="1:15" ht="22.5" customHeight="1">
      <c r="A25" s="123">
        <v>202102</v>
      </c>
      <c r="B25" s="124">
        <v>44249</v>
      </c>
      <c r="C25" s="123" t="s">
        <v>47</v>
      </c>
      <c r="D25" s="123">
        <v>81172878940</v>
      </c>
      <c r="E25" s="123">
        <v>1870</v>
      </c>
      <c r="F25" s="125">
        <v>51610414</v>
      </c>
      <c r="G25" s="137">
        <f t="shared" si="3"/>
        <v>27599.151871657756</v>
      </c>
      <c r="H25" s="125">
        <v>5160800</v>
      </c>
      <c r="I25" s="125">
        <v>4025500</v>
      </c>
      <c r="J25" s="125">
        <f t="shared" si="0"/>
        <v>1135300</v>
      </c>
      <c r="K25" s="123">
        <v>570</v>
      </c>
      <c r="L25" s="125">
        <f t="shared" si="1"/>
        <v>15731500</v>
      </c>
      <c r="M25" s="125">
        <f t="shared" si="4"/>
        <v>1227000</v>
      </c>
      <c r="N25" s="125">
        <f t="shared" si="2"/>
        <v>346100</v>
      </c>
      <c r="O25" s="125">
        <v>1573100</v>
      </c>
    </row>
    <row r="26" spans="1:15" ht="22.5" customHeight="1">
      <c r="A26" s="123">
        <v>202103</v>
      </c>
      <c r="B26" s="124">
        <v>44265</v>
      </c>
      <c r="C26" s="123" t="s">
        <v>47</v>
      </c>
      <c r="D26" s="123">
        <v>81173191360</v>
      </c>
      <c r="E26" s="123">
        <v>240</v>
      </c>
      <c r="F26" s="125">
        <v>6114206</v>
      </c>
      <c r="G26" s="137">
        <f t="shared" si="3"/>
        <v>25475.858333333334</v>
      </c>
      <c r="H26" s="125">
        <v>611200</v>
      </c>
      <c r="I26" s="125">
        <v>476800</v>
      </c>
      <c r="J26" s="125">
        <f t="shared" si="0"/>
        <v>134400</v>
      </c>
      <c r="K26" s="123">
        <v>100</v>
      </c>
      <c r="L26" s="125">
        <f t="shared" si="1"/>
        <v>2547600</v>
      </c>
      <c r="M26" s="125">
        <f t="shared" si="4"/>
        <v>198700</v>
      </c>
      <c r="N26" s="125">
        <f t="shared" si="2"/>
        <v>56000</v>
      </c>
      <c r="O26" s="125">
        <v>254700</v>
      </c>
    </row>
    <row r="27" spans="1:15" ht="22.5" customHeight="1">
      <c r="A27" s="123">
        <v>202103</v>
      </c>
      <c r="B27" s="124">
        <v>44274</v>
      </c>
      <c r="C27" s="123" t="s">
        <v>47</v>
      </c>
      <c r="D27" s="123">
        <v>81173420520</v>
      </c>
      <c r="E27" s="123">
        <v>930</v>
      </c>
      <c r="F27" s="125">
        <v>29045942</v>
      </c>
      <c r="G27" s="137">
        <f t="shared" si="3"/>
        <v>31232.19569892473</v>
      </c>
      <c r="H27" s="125">
        <v>2904400</v>
      </c>
      <c r="I27" s="125">
        <v>2265500</v>
      </c>
      <c r="J27" s="125">
        <f t="shared" si="0"/>
        <v>638900</v>
      </c>
      <c r="K27" s="123">
        <v>330</v>
      </c>
      <c r="L27" s="125">
        <f t="shared" si="1"/>
        <v>10306600</v>
      </c>
      <c r="M27" s="125">
        <f t="shared" si="4"/>
        <v>803900</v>
      </c>
      <c r="N27" s="125">
        <f t="shared" si="2"/>
        <v>226700</v>
      </c>
      <c r="O27" s="125">
        <v>1030600</v>
      </c>
    </row>
    <row r="28" spans="1:15" ht="22.5" customHeight="1">
      <c r="A28" s="123">
        <v>202103</v>
      </c>
      <c r="B28" s="124">
        <v>44284</v>
      </c>
      <c r="C28" s="123" t="s">
        <v>47</v>
      </c>
      <c r="D28" s="123">
        <v>81173607200</v>
      </c>
      <c r="E28" s="123">
        <v>1080</v>
      </c>
      <c r="F28" s="125">
        <v>31565504</v>
      </c>
      <c r="G28" s="137">
        <f t="shared" si="3"/>
        <v>29227.318518518518</v>
      </c>
      <c r="H28" s="125">
        <v>3156400</v>
      </c>
      <c r="I28" s="125">
        <f t="shared" ref="I28" si="8">ROUNDUP(H28*0.78,-1)</f>
        <v>2462000</v>
      </c>
      <c r="J28" s="125">
        <f t="shared" si="0"/>
        <v>694400</v>
      </c>
      <c r="K28" s="123">
        <v>390</v>
      </c>
      <c r="L28" s="125">
        <f t="shared" si="1"/>
        <v>11398700</v>
      </c>
      <c r="M28" s="125">
        <f t="shared" si="4"/>
        <v>889000</v>
      </c>
      <c r="N28" s="125">
        <f t="shared" si="2"/>
        <v>250800</v>
      </c>
      <c r="O28" s="125">
        <v>1139800</v>
      </c>
    </row>
    <row r="29" spans="1:15" ht="29.25" customHeight="1">
      <c r="M29" s="125">
        <f>SUM(M2:M28)</f>
        <v>18531700</v>
      </c>
      <c r="N29" s="125">
        <f>SUM(N2:N28)</f>
        <v>5226700</v>
      </c>
      <c r="O29" s="125">
        <f>SUM(O2:O28)</f>
        <v>23758400</v>
      </c>
    </row>
  </sheetData>
  <autoFilter ref="A1:J29" xr:uid="{F572F08E-E3A2-4100-B0C5-A7D5C5241CF2}"/>
  <phoneticPr fontId="1"/>
  <pageMargins left="0.7" right="0.7" top="0.75" bottom="0.75" header="0.3" footer="0.3"/>
  <pageSetup paperSize="9" scale="68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6"/>
  <sheetViews>
    <sheetView zoomScaleNormal="100"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B54" sqref="B54"/>
    </sheetView>
  </sheetViews>
  <sheetFormatPr defaultRowHeight="19.5"/>
  <cols>
    <col min="1" max="1" width="9" style="105"/>
    <col min="2" max="2" width="11.625" style="106" bestFit="1" customWidth="1"/>
    <col min="3" max="4" width="9" style="105"/>
    <col min="5" max="5" width="14.375" style="105" bestFit="1" customWidth="1"/>
    <col min="6" max="6" width="10.875" style="107" bestFit="1" customWidth="1"/>
    <col min="7" max="7" width="12.875" style="107" customWidth="1"/>
    <col min="8" max="8" width="14.75" style="107" customWidth="1"/>
  </cols>
  <sheetData>
    <row r="1" spans="1:8" ht="39">
      <c r="A1" s="101" t="s">
        <v>54</v>
      </c>
      <c r="B1" s="102" t="s">
        <v>49</v>
      </c>
      <c r="C1" s="101" t="s">
        <v>50</v>
      </c>
      <c r="D1" s="101" t="s">
        <v>57</v>
      </c>
      <c r="E1" s="101" t="s">
        <v>51</v>
      </c>
      <c r="F1" s="103" t="s">
        <v>52</v>
      </c>
      <c r="G1" s="104" t="s">
        <v>55</v>
      </c>
      <c r="H1" s="104" t="s">
        <v>56</v>
      </c>
    </row>
    <row r="2" spans="1:8">
      <c r="A2" s="105">
        <v>201904</v>
      </c>
      <c r="B2" s="106">
        <v>43571</v>
      </c>
      <c r="C2" s="105" t="s">
        <v>48</v>
      </c>
      <c r="D2" s="105">
        <v>400</v>
      </c>
      <c r="E2" s="105">
        <v>81158201930</v>
      </c>
      <c r="F2" s="107">
        <v>937600</v>
      </c>
      <c r="G2" s="107">
        <f>ROUNDUP(F2*0.7875,-1)</f>
        <v>738360</v>
      </c>
      <c r="H2" s="107">
        <f>F2-G2</f>
        <v>199240</v>
      </c>
    </row>
    <row r="3" spans="1:8">
      <c r="A3" s="105">
        <v>201904</v>
      </c>
      <c r="B3" s="106">
        <v>43572</v>
      </c>
      <c r="C3" s="105" t="s">
        <v>53</v>
      </c>
      <c r="D3" s="105">
        <v>600</v>
      </c>
      <c r="E3" s="105">
        <v>81158220130</v>
      </c>
      <c r="F3" s="107">
        <v>1162400</v>
      </c>
      <c r="G3" s="107">
        <f>ROUNDUP(F3*0.7875,-1)</f>
        <v>915390</v>
      </c>
      <c r="H3" s="107">
        <f>F3-G3</f>
        <v>247010</v>
      </c>
    </row>
    <row r="4" spans="1:8">
      <c r="A4" s="105">
        <v>201904</v>
      </c>
      <c r="B4" s="106">
        <v>43585</v>
      </c>
      <c r="C4" s="105" t="s">
        <v>47</v>
      </c>
      <c r="D4" s="105">
        <v>300</v>
      </c>
      <c r="E4" s="105">
        <v>81158476440</v>
      </c>
      <c r="F4" s="107">
        <v>574400</v>
      </c>
      <c r="G4" s="107">
        <f t="shared" ref="G4" si="0">ROUNDUP(F4*0.7875,-1)</f>
        <v>452340</v>
      </c>
      <c r="H4" s="107">
        <f t="shared" ref="H4" si="1">F4-G4</f>
        <v>122060</v>
      </c>
    </row>
    <row r="5" spans="1:8">
      <c r="A5" s="108" t="s">
        <v>58</v>
      </c>
      <c r="B5" s="109"/>
      <c r="C5" s="110"/>
      <c r="D5" s="110"/>
      <c r="E5" s="110"/>
      <c r="F5" s="111">
        <f>SUM(F2:F4)</f>
        <v>2674400</v>
      </c>
      <c r="G5" s="111">
        <f>ROUNDDOWN(F5*0.7875,0)</f>
        <v>2106090</v>
      </c>
      <c r="H5" s="111">
        <f>F5-G5</f>
        <v>568310</v>
      </c>
    </row>
    <row r="6" spans="1:8">
      <c r="A6" s="105">
        <v>201905</v>
      </c>
      <c r="B6" s="106">
        <v>43600</v>
      </c>
      <c r="C6" s="105" t="s">
        <v>47</v>
      </c>
      <c r="D6" s="105">
        <v>450</v>
      </c>
      <c r="E6" s="105">
        <v>81158790630</v>
      </c>
      <c r="F6" s="107">
        <v>862200</v>
      </c>
      <c r="G6" s="107">
        <f t="shared" ref="G6:G7" si="2">ROUNDUP(F6*0.7875,-1)</f>
        <v>678990</v>
      </c>
      <c r="H6" s="107">
        <f t="shared" ref="H6:H7" si="3">F6-G6</f>
        <v>183210</v>
      </c>
    </row>
    <row r="7" spans="1:8">
      <c r="A7" s="105">
        <v>201905</v>
      </c>
      <c r="B7" s="106">
        <v>43608</v>
      </c>
      <c r="C7" s="105" t="s">
        <v>47</v>
      </c>
      <c r="D7" s="105">
        <v>370</v>
      </c>
      <c r="E7" s="105">
        <v>81158979520</v>
      </c>
      <c r="F7" s="107">
        <v>678100</v>
      </c>
      <c r="G7" s="107">
        <f t="shared" si="2"/>
        <v>534010</v>
      </c>
      <c r="H7" s="107">
        <f t="shared" si="3"/>
        <v>144090</v>
      </c>
    </row>
    <row r="8" spans="1:8">
      <c r="A8" s="108" t="s">
        <v>58</v>
      </c>
      <c r="B8" s="109"/>
      <c r="C8" s="110"/>
      <c r="D8" s="110"/>
      <c r="E8" s="110"/>
      <c r="F8" s="111">
        <f>SUM(F6:F7)</f>
        <v>1540300</v>
      </c>
      <c r="G8" s="111">
        <f>ROUNDDOWN(F8*0.7875,0)</f>
        <v>1212986</v>
      </c>
      <c r="H8" s="111">
        <f>F8-G8</f>
        <v>327314</v>
      </c>
    </row>
    <row r="9" spans="1:8">
      <c r="A9" s="105">
        <v>201906</v>
      </c>
      <c r="B9" s="106">
        <v>43619</v>
      </c>
      <c r="C9" s="105" t="s">
        <v>13</v>
      </c>
      <c r="D9" s="105">
        <v>200</v>
      </c>
      <c r="E9" s="105">
        <v>81159202450</v>
      </c>
      <c r="F9" s="107">
        <v>363400</v>
      </c>
      <c r="G9" s="107">
        <f t="shared" ref="G9:G13" si="4">ROUNDUP(F9*0.7875,-1)</f>
        <v>286180</v>
      </c>
      <c r="H9" s="107">
        <f t="shared" ref="H9:H13" si="5">F9-G9</f>
        <v>77220</v>
      </c>
    </row>
    <row r="10" spans="1:8">
      <c r="A10" s="105">
        <v>201906</v>
      </c>
      <c r="B10" s="106">
        <v>43637</v>
      </c>
      <c r="C10" s="105" t="s">
        <v>13</v>
      </c>
      <c r="D10" s="105">
        <v>2030</v>
      </c>
      <c r="E10" s="105">
        <v>81159651040</v>
      </c>
      <c r="F10" s="107">
        <v>3790700</v>
      </c>
      <c r="G10" s="107">
        <f t="shared" si="4"/>
        <v>2985180</v>
      </c>
      <c r="H10" s="107">
        <f t="shared" si="5"/>
        <v>805520</v>
      </c>
    </row>
    <row r="11" spans="1:8">
      <c r="A11" s="105">
        <v>201906</v>
      </c>
      <c r="B11" s="106">
        <v>43643</v>
      </c>
      <c r="C11" s="105" t="s">
        <v>48</v>
      </c>
      <c r="D11" s="105">
        <v>280</v>
      </c>
      <c r="E11" s="105">
        <v>81159779950</v>
      </c>
      <c r="F11" s="107">
        <v>646000</v>
      </c>
      <c r="G11" s="107">
        <f t="shared" si="4"/>
        <v>508730</v>
      </c>
      <c r="H11" s="107">
        <f t="shared" si="5"/>
        <v>137270</v>
      </c>
    </row>
    <row r="12" spans="1:8">
      <c r="A12" s="105">
        <v>201906</v>
      </c>
      <c r="G12" s="107">
        <f t="shared" si="4"/>
        <v>0</v>
      </c>
      <c r="H12" s="107">
        <f t="shared" si="5"/>
        <v>0</v>
      </c>
    </row>
    <row r="13" spans="1:8">
      <c r="A13" s="105">
        <v>201906</v>
      </c>
      <c r="G13" s="107">
        <f t="shared" si="4"/>
        <v>0</v>
      </c>
      <c r="H13" s="107">
        <f t="shared" si="5"/>
        <v>0</v>
      </c>
    </row>
    <row r="14" spans="1:8">
      <c r="A14" s="108" t="s">
        <v>58</v>
      </c>
      <c r="B14" s="109"/>
      <c r="C14" s="110"/>
      <c r="D14" s="110"/>
      <c r="E14" s="110"/>
      <c r="F14" s="111">
        <f>SUM(F9:F13)</f>
        <v>4800100</v>
      </c>
      <c r="G14" s="111">
        <f>ROUNDDOWN(F14*0.7875,0)</f>
        <v>3780078</v>
      </c>
      <c r="H14" s="111">
        <f>F14-G14</f>
        <v>1020022</v>
      </c>
    </row>
    <row r="15" spans="1:8">
      <c r="A15" s="105">
        <v>201907</v>
      </c>
      <c r="G15" s="107">
        <f t="shared" ref="G15:G16" si="6">ROUNDUP(F15*0.7875,-1)</f>
        <v>0</v>
      </c>
      <c r="H15" s="107">
        <f t="shared" ref="H15:H16" si="7">F15-G15</f>
        <v>0</v>
      </c>
    </row>
    <row r="16" spans="1:8">
      <c r="A16" s="105">
        <v>201907</v>
      </c>
      <c r="G16" s="107">
        <f t="shared" si="6"/>
        <v>0</v>
      </c>
      <c r="H16" s="107">
        <f t="shared" si="7"/>
        <v>0</v>
      </c>
    </row>
    <row r="17" spans="1:8">
      <c r="A17" s="108" t="s">
        <v>58</v>
      </c>
      <c r="B17" s="109"/>
      <c r="C17" s="110"/>
      <c r="D17" s="110"/>
      <c r="E17" s="110"/>
      <c r="F17" s="111">
        <f>SUM(F15:F16)</f>
        <v>0</v>
      </c>
      <c r="G17" s="111">
        <f>ROUNDDOWN(F17*0.7875,0)</f>
        <v>0</v>
      </c>
      <c r="H17" s="111">
        <f>F17-G17</f>
        <v>0</v>
      </c>
    </row>
    <row r="18" spans="1:8">
      <c r="A18" s="105">
        <v>201908</v>
      </c>
      <c r="B18" s="106">
        <v>43693</v>
      </c>
      <c r="C18" s="105" t="s">
        <v>13</v>
      </c>
      <c r="D18" s="105">
        <v>320</v>
      </c>
      <c r="E18" s="105">
        <v>81160892950</v>
      </c>
      <c r="F18" s="107">
        <v>607400</v>
      </c>
      <c r="G18" s="107">
        <f t="shared" ref="G18:G22" si="8">ROUNDUP(F18*0.7875,-1)</f>
        <v>478330</v>
      </c>
      <c r="H18" s="107">
        <f t="shared" ref="H18:H22" si="9">F18-G18</f>
        <v>129070</v>
      </c>
    </row>
    <row r="19" spans="1:8">
      <c r="A19" s="105">
        <v>201908</v>
      </c>
      <c r="B19" s="106">
        <v>43706</v>
      </c>
      <c r="C19" s="105" t="s">
        <v>13</v>
      </c>
      <c r="D19" s="105">
        <v>610</v>
      </c>
      <c r="E19" s="105">
        <v>81161232930</v>
      </c>
      <c r="F19" s="107">
        <v>1202800</v>
      </c>
      <c r="G19" s="107">
        <f t="shared" si="8"/>
        <v>947210</v>
      </c>
      <c r="H19" s="107">
        <f t="shared" si="9"/>
        <v>255590</v>
      </c>
    </row>
    <row r="20" spans="1:8">
      <c r="A20" s="105">
        <v>201908</v>
      </c>
      <c r="G20" s="107">
        <f t="shared" si="8"/>
        <v>0</v>
      </c>
      <c r="H20" s="107">
        <f t="shared" si="9"/>
        <v>0</v>
      </c>
    </row>
    <row r="21" spans="1:8">
      <c r="A21" s="105">
        <v>201908</v>
      </c>
      <c r="G21" s="107">
        <f t="shared" si="8"/>
        <v>0</v>
      </c>
      <c r="H21" s="107">
        <f t="shared" si="9"/>
        <v>0</v>
      </c>
    </row>
    <row r="22" spans="1:8">
      <c r="A22" s="105">
        <v>201908</v>
      </c>
      <c r="G22" s="107">
        <f t="shared" si="8"/>
        <v>0</v>
      </c>
      <c r="H22" s="107">
        <f t="shared" si="9"/>
        <v>0</v>
      </c>
    </row>
    <row r="23" spans="1:8">
      <c r="A23" s="108" t="s">
        <v>58</v>
      </c>
      <c r="B23" s="109"/>
      <c r="C23" s="110"/>
      <c r="D23" s="110"/>
      <c r="E23" s="110"/>
      <c r="F23" s="111">
        <f>SUM(F18:F22)</f>
        <v>1810200</v>
      </c>
      <c r="G23" s="111">
        <f>ROUNDDOWN(F23*0.7875,0)</f>
        <v>1425532</v>
      </c>
      <c r="H23" s="111">
        <f>F23-G23</f>
        <v>384668</v>
      </c>
    </row>
    <row r="24" spans="1:8">
      <c r="A24" s="105">
        <v>201909</v>
      </c>
      <c r="B24" s="106">
        <v>43714</v>
      </c>
      <c r="C24" s="105" t="s">
        <v>48</v>
      </c>
      <c r="D24" s="105">
        <v>320</v>
      </c>
      <c r="E24" s="105">
        <v>81161395220</v>
      </c>
      <c r="F24" s="107">
        <v>672300</v>
      </c>
      <c r="G24" s="107">
        <f t="shared" ref="G24:G28" si="10">ROUNDUP(F24*0.7875,-1)</f>
        <v>529440</v>
      </c>
      <c r="H24" s="107">
        <f t="shared" ref="H24:H28" si="11">F24-G24</f>
        <v>142860</v>
      </c>
    </row>
    <row r="25" spans="1:8">
      <c r="A25" s="105">
        <v>201909</v>
      </c>
      <c r="B25" s="106">
        <v>43728</v>
      </c>
      <c r="C25" s="105" t="s">
        <v>47</v>
      </c>
      <c r="D25" s="105">
        <v>480</v>
      </c>
      <c r="E25" s="105">
        <v>81161704730</v>
      </c>
      <c r="F25" s="107">
        <v>807900</v>
      </c>
      <c r="G25" s="107">
        <f t="shared" si="10"/>
        <v>636230</v>
      </c>
      <c r="H25" s="107">
        <f t="shared" si="11"/>
        <v>171670</v>
      </c>
    </row>
    <row r="26" spans="1:8">
      <c r="A26" s="105">
        <v>201909</v>
      </c>
      <c r="G26" s="107">
        <f t="shared" si="10"/>
        <v>0</v>
      </c>
      <c r="H26" s="107">
        <f t="shared" si="11"/>
        <v>0</v>
      </c>
    </row>
    <row r="27" spans="1:8">
      <c r="A27" s="105">
        <v>201909</v>
      </c>
      <c r="G27" s="107">
        <f t="shared" si="10"/>
        <v>0</v>
      </c>
      <c r="H27" s="107">
        <f t="shared" si="11"/>
        <v>0</v>
      </c>
    </row>
    <row r="28" spans="1:8">
      <c r="A28" s="105">
        <v>201909</v>
      </c>
      <c r="G28" s="107">
        <f t="shared" si="10"/>
        <v>0</v>
      </c>
      <c r="H28" s="107">
        <f t="shared" si="11"/>
        <v>0</v>
      </c>
    </row>
    <row r="29" spans="1:8">
      <c r="A29" s="108" t="s">
        <v>58</v>
      </c>
      <c r="B29" s="109"/>
      <c r="C29" s="110"/>
      <c r="D29" s="110"/>
      <c r="E29" s="110"/>
      <c r="F29" s="111">
        <f>SUM(F24:F28)</f>
        <v>1480200</v>
      </c>
      <c r="G29" s="111">
        <f>ROUNDDOWN(F29*0.7875,0)</f>
        <v>1165657</v>
      </c>
      <c r="H29" s="111">
        <f>F29-G29</f>
        <v>314543</v>
      </c>
    </row>
    <row r="30" spans="1:8">
      <c r="A30" s="105">
        <v>201910</v>
      </c>
      <c r="B30" s="106">
        <v>43745</v>
      </c>
      <c r="C30" s="105" t="s">
        <v>47</v>
      </c>
      <c r="D30" s="105">
        <v>610</v>
      </c>
      <c r="E30" s="105">
        <v>81162023340</v>
      </c>
      <c r="F30" s="107">
        <v>1389600</v>
      </c>
      <c r="G30" s="107">
        <f t="shared" ref="G30:G34" si="12">ROUNDUP(F30*0.7875,-1)</f>
        <v>1094310</v>
      </c>
      <c r="H30" s="107">
        <f t="shared" ref="H30:H34" si="13">F30-G30</f>
        <v>295290</v>
      </c>
    </row>
    <row r="31" spans="1:8">
      <c r="A31" s="105">
        <v>201910</v>
      </c>
      <c r="B31" s="106">
        <v>43753</v>
      </c>
      <c r="C31" s="105" t="s">
        <v>48</v>
      </c>
      <c r="D31" s="105">
        <v>367.5</v>
      </c>
      <c r="E31" s="105">
        <v>81162180620</v>
      </c>
      <c r="F31" s="107">
        <v>946700</v>
      </c>
      <c r="G31" s="107">
        <f t="shared" si="12"/>
        <v>745530</v>
      </c>
      <c r="H31" s="107">
        <f t="shared" si="13"/>
        <v>201170</v>
      </c>
    </row>
    <row r="32" spans="1:8">
      <c r="A32" s="105">
        <v>201910</v>
      </c>
      <c r="B32" s="106">
        <v>43769</v>
      </c>
      <c r="C32" s="105" t="s">
        <v>47</v>
      </c>
      <c r="D32" s="105">
        <v>470</v>
      </c>
      <c r="E32" s="105">
        <v>81162564330</v>
      </c>
      <c r="F32" s="107">
        <v>1111300</v>
      </c>
      <c r="G32" s="107">
        <f t="shared" si="12"/>
        <v>875150</v>
      </c>
      <c r="H32" s="107">
        <f t="shared" si="13"/>
        <v>236150</v>
      </c>
    </row>
    <row r="33" spans="1:8">
      <c r="A33" s="105">
        <v>201910</v>
      </c>
      <c r="G33" s="107">
        <f t="shared" si="12"/>
        <v>0</v>
      </c>
      <c r="H33" s="107">
        <f t="shared" si="13"/>
        <v>0</v>
      </c>
    </row>
    <row r="34" spans="1:8">
      <c r="A34" s="105">
        <v>201910</v>
      </c>
      <c r="G34" s="107">
        <f t="shared" si="12"/>
        <v>0</v>
      </c>
      <c r="H34" s="107">
        <f t="shared" si="13"/>
        <v>0</v>
      </c>
    </row>
    <row r="35" spans="1:8">
      <c r="A35" s="108" t="s">
        <v>58</v>
      </c>
      <c r="B35" s="109"/>
      <c r="C35" s="110"/>
      <c r="D35" s="110"/>
      <c r="E35" s="110"/>
      <c r="F35" s="111">
        <f>SUM(F30:F34)</f>
        <v>3447600</v>
      </c>
      <c r="G35" s="111">
        <f>ROUNDDOWN(F35*0.7875,0)</f>
        <v>2714985</v>
      </c>
      <c r="H35" s="111">
        <f>F35-G35</f>
        <v>732615</v>
      </c>
    </row>
    <row r="36" spans="1:8">
      <c r="A36" s="105">
        <v>201911</v>
      </c>
      <c r="B36" s="106">
        <v>43789</v>
      </c>
      <c r="C36" s="105" t="s">
        <v>47</v>
      </c>
      <c r="D36" s="105">
        <v>690</v>
      </c>
      <c r="E36" s="105">
        <v>81163019700</v>
      </c>
      <c r="F36" s="107">
        <v>1456300</v>
      </c>
      <c r="G36" s="107">
        <f t="shared" ref="G36:G38" si="14">ROUNDUP(F36*0.7875,-1)</f>
        <v>1146840</v>
      </c>
      <c r="H36" s="107">
        <f t="shared" ref="H36:H38" si="15">F36-G36</f>
        <v>309460</v>
      </c>
    </row>
    <row r="37" spans="1:8">
      <c r="A37" s="105">
        <v>201911</v>
      </c>
      <c r="G37" s="107">
        <f t="shared" si="14"/>
        <v>0</v>
      </c>
      <c r="H37" s="107">
        <f t="shared" si="15"/>
        <v>0</v>
      </c>
    </row>
    <row r="38" spans="1:8">
      <c r="A38" s="105">
        <v>201911</v>
      </c>
      <c r="G38" s="107">
        <f t="shared" si="14"/>
        <v>0</v>
      </c>
      <c r="H38" s="107">
        <f t="shared" si="15"/>
        <v>0</v>
      </c>
    </row>
    <row r="39" spans="1:8">
      <c r="A39" s="108" t="s">
        <v>58</v>
      </c>
      <c r="B39" s="109"/>
      <c r="C39" s="110"/>
      <c r="D39" s="110"/>
      <c r="E39" s="110"/>
      <c r="F39" s="111">
        <f>SUM(F36:F38)</f>
        <v>1456300</v>
      </c>
      <c r="G39" s="111">
        <f>ROUNDDOWN(F39*0.7875,0)</f>
        <v>1146836</v>
      </c>
      <c r="H39" s="111">
        <f>F39-G39</f>
        <v>309464</v>
      </c>
    </row>
    <row r="40" spans="1:8">
      <c r="A40" s="105">
        <v>201912</v>
      </c>
      <c r="B40" s="106">
        <v>43803</v>
      </c>
      <c r="C40" s="105" t="s">
        <v>47</v>
      </c>
      <c r="D40" s="105">
        <v>530</v>
      </c>
      <c r="E40" s="105">
        <v>81163317860</v>
      </c>
      <c r="F40" s="107">
        <v>1244200</v>
      </c>
      <c r="G40" s="107">
        <f t="shared" ref="G40:G42" si="16">ROUNDUP(F40*0.7875,-1)</f>
        <v>979810</v>
      </c>
      <c r="H40" s="107">
        <f t="shared" ref="H40:H42" si="17">F40-G40</f>
        <v>264390</v>
      </c>
    </row>
    <row r="41" spans="1:8">
      <c r="A41" s="105">
        <v>201912</v>
      </c>
      <c r="B41" s="106">
        <v>43825</v>
      </c>
      <c r="C41" s="105" t="s">
        <v>47</v>
      </c>
      <c r="D41" s="105">
        <v>530</v>
      </c>
      <c r="E41" s="105">
        <v>81163890130</v>
      </c>
      <c r="F41" s="107">
        <v>1182200</v>
      </c>
      <c r="G41" s="107">
        <f t="shared" si="16"/>
        <v>930990</v>
      </c>
      <c r="H41" s="107">
        <f t="shared" si="17"/>
        <v>251210</v>
      </c>
    </row>
    <row r="42" spans="1:8">
      <c r="A42" s="105">
        <v>201912</v>
      </c>
      <c r="G42" s="107">
        <f t="shared" si="16"/>
        <v>0</v>
      </c>
      <c r="H42" s="107">
        <f t="shared" si="17"/>
        <v>0</v>
      </c>
    </row>
    <row r="43" spans="1:8">
      <c r="A43" s="108" t="s">
        <v>58</v>
      </c>
      <c r="B43" s="109"/>
      <c r="C43" s="110"/>
      <c r="D43" s="110"/>
      <c r="E43" s="110"/>
      <c r="F43" s="111">
        <f>SUM(F40:F42)</f>
        <v>2426400</v>
      </c>
      <c r="G43" s="111">
        <f>ROUNDDOWN(F43*0.7875,0)</f>
        <v>1910790</v>
      </c>
      <c r="H43" s="111">
        <f>F43-G43</f>
        <v>515610</v>
      </c>
    </row>
    <row r="44" spans="1:8">
      <c r="A44" s="105">
        <v>202001</v>
      </c>
      <c r="B44" s="106">
        <v>43837</v>
      </c>
      <c r="C44" s="105" t="s">
        <v>48</v>
      </c>
      <c r="D44" s="105">
        <v>315</v>
      </c>
      <c r="E44" s="105">
        <v>81164001540</v>
      </c>
      <c r="F44" s="107">
        <v>777400</v>
      </c>
      <c r="G44" s="107">
        <f t="shared" ref="G44:G46" si="18">ROUNDUP(F44*0.7875,-1)</f>
        <v>612210</v>
      </c>
      <c r="H44" s="107">
        <f t="shared" ref="H44:H46" si="19">F44-G44</f>
        <v>165190</v>
      </c>
    </row>
    <row r="45" spans="1:8">
      <c r="A45" s="105">
        <v>202001</v>
      </c>
      <c r="B45" s="106">
        <v>43850</v>
      </c>
      <c r="C45" s="105" t="s">
        <v>47</v>
      </c>
      <c r="D45" s="105">
        <v>550</v>
      </c>
      <c r="E45" s="105">
        <v>81164327520</v>
      </c>
      <c r="F45" s="107">
        <v>1271400</v>
      </c>
      <c r="G45" s="107">
        <f t="shared" si="18"/>
        <v>1001230</v>
      </c>
      <c r="H45" s="107">
        <f t="shared" si="19"/>
        <v>270170</v>
      </c>
    </row>
    <row r="46" spans="1:8">
      <c r="A46" s="105">
        <v>202001</v>
      </c>
      <c r="G46" s="107">
        <f t="shared" si="18"/>
        <v>0</v>
      </c>
      <c r="H46" s="107">
        <f t="shared" si="19"/>
        <v>0</v>
      </c>
    </row>
    <row r="47" spans="1:8">
      <c r="A47" s="108" t="s">
        <v>58</v>
      </c>
      <c r="B47" s="109"/>
      <c r="C47" s="110"/>
      <c r="D47" s="110"/>
      <c r="E47" s="110"/>
      <c r="F47" s="111">
        <f>SUM(F44:F46)</f>
        <v>2048800</v>
      </c>
      <c r="G47" s="111">
        <f>ROUNDDOWN(F47*0.7875,0)</f>
        <v>1613430</v>
      </c>
      <c r="H47" s="111">
        <f>F47-G47</f>
        <v>435370</v>
      </c>
    </row>
    <row r="48" spans="1:8">
      <c r="A48" s="105">
        <v>202002</v>
      </c>
      <c r="B48" s="106">
        <v>43864</v>
      </c>
      <c r="C48" s="105" t="s">
        <v>47</v>
      </c>
      <c r="D48" s="105">
        <v>650</v>
      </c>
      <c r="E48" s="105">
        <v>81164672620</v>
      </c>
      <c r="F48" s="107">
        <v>1560100</v>
      </c>
      <c r="G48" s="107">
        <f t="shared" ref="G48:G50" si="20">ROUNDUP(F48*0.7875,-1)</f>
        <v>1228580</v>
      </c>
      <c r="H48" s="107">
        <f t="shared" ref="H48:H50" si="21">F48-G48</f>
        <v>331520</v>
      </c>
    </row>
    <row r="49" spans="1:8">
      <c r="A49" s="105">
        <v>202002</v>
      </c>
      <c r="B49" s="106">
        <v>43882</v>
      </c>
      <c r="C49" s="105" t="s">
        <v>47</v>
      </c>
      <c r="D49" s="105">
        <v>550</v>
      </c>
      <c r="E49" s="105">
        <v>81165010830</v>
      </c>
      <c r="F49" s="107">
        <v>936500</v>
      </c>
      <c r="G49" s="107">
        <f t="shared" si="20"/>
        <v>737500</v>
      </c>
      <c r="H49" s="107">
        <f t="shared" si="21"/>
        <v>199000</v>
      </c>
    </row>
    <row r="50" spans="1:8">
      <c r="A50" s="105">
        <v>202002</v>
      </c>
      <c r="G50" s="107">
        <f t="shared" si="20"/>
        <v>0</v>
      </c>
      <c r="H50" s="107">
        <f t="shared" si="21"/>
        <v>0</v>
      </c>
    </row>
    <row r="51" spans="1:8">
      <c r="A51" s="108" t="s">
        <v>58</v>
      </c>
      <c r="B51" s="109"/>
      <c r="C51" s="110"/>
      <c r="D51" s="110"/>
      <c r="E51" s="110"/>
      <c r="F51" s="111">
        <f>SUM(F48:F50)</f>
        <v>2496600</v>
      </c>
      <c r="G51" s="111">
        <f>ROUNDDOWN(F51*0.7875,0)</f>
        <v>1966072</v>
      </c>
      <c r="H51" s="111">
        <f>F51-G51</f>
        <v>530528</v>
      </c>
    </row>
    <row r="52" spans="1:8">
      <c r="A52" s="105">
        <v>202003</v>
      </c>
      <c r="B52" s="106">
        <v>43906</v>
      </c>
      <c r="C52" s="105" t="s">
        <v>47</v>
      </c>
      <c r="D52" s="105">
        <v>1350</v>
      </c>
      <c r="E52" s="105">
        <v>81165405040</v>
      </c>
      <c r="F52" s="107">
        <v>3139700</v>
      </c>
      <c r="G52" s="107">
        <f t="shared" ref="G52:G54" si="22">ROUNDUP(F52*0.7875,-1)</f>
        <v>2472520</v>
      </c>
      <c r="H52" s="107">
        <f t="shared" ref="H52:H54" si="23">F52-G52</f>
        <v>667180</v>
      </c>
    </row>
    <row r="53" spans="1:8">
      <c r="A53" s="105">
        <v>202003</v>
      </c>
      <c r="B53" s="106">
        <v>43906</v>
      </c>
      <c r="C53" s="105" t="s">
        <v>48</v>
      </c>
      <c r="D53" s="105">
        <v>294</v>
      </c>
      <c r="E53" s="105">
        <v>81165418930</v>
      </c>
      <c r="F53" s="107">
        <v>720100</v>
      </c>
      <c r="G53" s="107">
        <f t="shared" si="22"/>
        <v>567080</v>
      </c>
      <c r="H53" s="107">
        <f t="shared" si="23"/>
        <v>153020</v>
      </c>
    </row>
    <row r="54" spans="1:8">
      <c r="A54" s="105">
        <v>202003</v>
      </c>
      <c r="G54" s="107">
        <f t="shared" si="22"/>
        <v>0</v>
      </c>
      <c r="H54" s="107">
        <f t="shared" si="23"/>
        <v>0</v>
      </c>
    </row>
    <row r="55" spans="1:8">
      <c r="A55" s="108" t="s">
        <v>58</v>
      </c>
      <c r="B55" s="109"/>
      <c r="C55" s="110"/>
      <c r="D55" s="110"/>
      <c r="E55" s="110"/>
      <c r="F55" s="111">
        <f>SUM(F52:F54)</f>
        <v>3859800</v>
      </c>
      <c r="G55" s="111">
        <f>ROUNDDOWN(F55*0.7875,0)</f>
        <v>3039592</v>
      </c>
      <c r="H55" s="111">
        <f>F55-G55</f>
        <v>820208</v>
      </c>
    </row>
    <row r="56" spans="1:8">
      <c r="F56" s="107">
        <f>SUM(F55,F51,F47,F43,F39,F35,F29,F23,F17,F14,F8,F5)</f>
        <v>28040700</v>
      </c>
    </row>
  </sheetData>
  <autoFilter ref="A1:H14" xr:uid="{F572F08E-E3A2-4100-B0C5-A7D5C5241CF2}"/>
  <phoneticPr fontId="1"/>
  <pageMargins left="0.7" right="0.7" top="0.75" bottom="0.75" header="0.3" footer="0.3"/>
  <pageSetup paperSize="9" scale="97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5">
    <tabColor indexed="10"/>
  </sheetPr>
  <dimension ref="A1:Z41"/>
  <sheetViews>
    <sheetView showGridLines="0" view="pageBreakPreview" topLeftCell="A22" zoomScaleNormal="100" zoomScaleSheetLayoutView="85" workbookViewId="0">
      <selection activeCell="K35" sqref="K35:L35"/>
    </sheetView>
  </sheetViews>
  <sheetFormatPr defaultRowHeight="14.25"/>
  <cols>
    <col min="1" max="1" width="1.625" style="1" customWidth="1"/>
    <col min="2" max="3" width="4.125" style="1" customWidth="1"/>
    <col min="4" max="4" width="22.375" style="1" customWidth="1"/>
    <col min="5" max="5" width="6.75" style="1" customWidth="1"/>
    <col min="6" max="6" width="5.875" style="1" customWidth="1"/>
    <col min="7" max="7" width="0.875" style="1" customWidth="1"/>
    <col min="8" max="8" width="11.625" style="1" customWidth="1"/>
    <col min="9" max="9" width="1.75" style="1" customWidth="1"/>
    <col min="10" max="10" width="11.875" style="1" customWidth="1"/>
    <col min="11" max="11" width="0.75" style="1" customWidth="1"/>
    <col min="12" max="12" width="18" style="1" bestFit="1" customWidth="1"/>
    <col min="13" max="13" width="1.625" style="1" customWidth="1"/>
    <col min="14" max="15" width="4.125" style="1" customWidth="1"/>
    <col min="16" max="16" width="20.875" style="1" customWidth="1"/>
    <col min="17" max="17" width="5.875" style="1" customWidth="1"/>
    <col min="18" max="18" width="11.625" style="1" customWidth="1"/>
    <col min="19" max="19" width="11.25" style="1" customWidth="1"/>
    <col min="20" max="20" width="17.5" style="1" customWidth="1"/>
    <col min="21" max="65" width="9" style="1"/>
    <col min="66" max="68" width="9.125" style="1" bestFit="1" customWidth="1"/>
    <col min="69" max="69" width="10.5" style="1" bestFit="1" customWidth="1"/>
    <col min="70" max="137" width="9" style="1"/>
    <col min="138" max="139" width="9.125" style="1" bestFit="1" customWidth="1"/>
    <col min="140" max="140" width="10.5" style="1" bestFit="1" customWidth="1"/>
    <col min="141" max="146" width="9" style="1"/>
    <col min="147" max="148" width="9.125" style="1" bestFit="1" customWidth="1"/>
    <col min="149" max="149" width="11.625" style="1" bestFit="1" customWidth="1"/>
    <col min="150" max="16384" width="9" style="1"/>
  </cols>
  <sheetData>
    <row r="1" spans="1:12">
      <c r="C1" s="1" t="s">
        <v>10</v>
      </c>
    </row>
    <row r="2" spans="1:12">
      <c r="E2" s="19"/>
      <c r="F2" s="19"/>
      <c r="G2" s="19"/>
      <c r="H2" s="19"/>
      <c r="I2" s="19"/>
      <c r="J2" s="19"/>
      <c r="K2" s="19"/>
    </row>
    <row r="3" spans="1:12" ht="18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s="49" customFormat="1" ht="30.75" customHeight="1">
      <c r="A4" s="174" t="s">
        <v>1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</row>
    <row r="5" spans="1:12" s="49" customFormat="1" ht="10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2" s="49" customFormat="1" ht="14.2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 s="49" customFormat="1" ht="18" customHeight="1">
      <c r="B7" s="50"/>
      <c r="C7" s="51"/>
      <c r="D7" s="50"/>
      <c r="E7" s="50"/>
      <c r="F7" s="50"/>
      <c r="G7" s="50"/>
      <c r="H7" s="50"/>
      <c r="I7" s="50"/>
      <c r="J7" s="52" t="s">
        <v>19</v>
      </c>
      <c r="K7" s="50"/>
      <c r="L7" s="82">
        <v>503</v>
      </c>
    </row>
    <row r="8" spans="1:12" s="49" customFormat="1" ht="10.5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3"/>
    </row>
    <row r="9" spans="1:12" s="49" customFormat="1" ht="18" customHeight="1">
      <c r="B9" s="50"/>
      <c r="C9" s="48"/>
      <c r="D9" s="50"/>
      <c r="E9" s="50"/>
      <c r="F9" s="50"/>
      <c r="G9" s="50"/>
      <c r="H9" s="50"/>
      <c r="I9" s="50"/>
      <c r="J9" s="193">
        <v>39756</v>
      </c>
      <c r="K9" s="193"/>
      <c r="L9" s="193"/>
    </row>
    <row r="10" spans="1:12" s="49" customFormat="1" ht="10.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5"/>
    </row>
    <row r="11" spans="1:12" s="49" customFormat="1" ht="18" customHeight="1">
      <c r="B11" s="50"/>
      <c r="C11" s="50"/>
      <c r="D11" s="56"/>
      <c r="E11" s="50"/>
      <c r="F11" s="50"/>
      <c r="G11" s="50"/>
      <c r="H11" s="50"/>
      <c r="I11" s="50"/>
      <c r="J11" s="51"/>
      <c r="K11" s="51"/>
      <c r="L11" s="50"/>
    </row>
    <row r="12" spans="1:12" s="49" customFormat="1" ht="10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2" s="49" customFormat="1" ht="20.25" customHeight="1">
      <c r="B13" s="50"/>
      <c r="C13" s="48" t="s">
        <v>11</v>
      </c>
      <c r="D13" s="57"/>
      <c r="E13" s="54" t="s">
        <v>2</v>
      </c>
      <c r="F13" s="54"/>
      <c r="G13" s="54"/>
      <c r="J13" s="178"/>
      <c r="K13" s="178"/>
      <c r="L13" s="178"/>
    </row>
    <row r="14" spans="1:12" s="49" customFormat="1" ht="6" customHeight="1">
      <c r="B14" s="50"/>
      <c r="C14" s="58"/>
      <c r="D14" s="58"/>
      <c r="E14" s="58"/>
      <c r="F14" s="50"/>
      <c r="G14" s="50"/>
      <c r="H14" s="59"/>
      <c r="I14" s="59"/>
      <c r="J14" s="50"/>
      <c r="K14" s="50"/>
      <c r="L14" s="50"/>
    </row>
    <row r="15" spans="1:12" s="49" customFormat="1" ht="30" customHeight="1">
      <c r="A15" s="50"/>
      <c r="B15" s="50"/>
      <c r="C15" s="50"/>
      <c r="D15" s="50"/>
      <c r="E15" s="50"/>
      <c r="F15" s="50"/>
      <c r="G15" s="50"/>
      <c r="H15" s="179"/>
      <c r="I15" s="179"/>
      <c r="J15" s="179"/>
      <c r="K15" s="179"/>
      <c r="L15" s="179"/>
    </row>
    <row r="16" spans="1:12" s="49" customFormat="1" ht="13.5" customHeight="1">
      <c r="B16" s="50"/>
      <c r="C16" s="50"/>
      <c r="D16" s="50"/>
      <c r="E16" s="53"/>
      <c r="F16" s="50"/>
      <c r="G16" s="50"/>
      <c r="H16" s="61"/>
      <c r="I16" s="61"/>
      <c r="J16" s="81" t="s">
        <v>31</v>
      </c>
      <c r="K16" s="60"/>
      <c r="L16" s="60" t="s">
        <v>23</v>
      </c>
    </row>
    <row r="17" spans="1:26" s="49" customFormat="1" ht="13.5" customHeight="1">
      <c r="B17" s="50"/>
      <c r="C17" s="50"/>
      <c r="D17" s="50"/>
      <c r="E17" s="53"/>
      <c r="F17" s="50"/>
      <c r="G17" s="50"/>
      <c r="H17" s="61"/>
      <c r="I17" s="61"/>
      <c r="J17" s="81" t="s">
        <v>32</v>
      </c>
      <c r="K17" s="60"/>
      <c r="L17" s="60" t="s">
        <v>33</v>
      </c>
      <c r="N17" s="50"/>
      <c r="O17" s="50"/>
      <c r="P17" s="50"/>
      <c r="Q17" s="50"/>
      <c r="R17" s="61"/>
      <c r="S17" s="60"/>
      <c r="T17" s="61"/>
      <c r="V17" s="50"/>
      <c r="W17" s="50"/>
      <c r="X17" s="50"/>
      <c r="Y17" s="50"/>
      <c r="Z17" s="61"/>
    </row>
    <row r="18" spans="1:26" s="49" customFormat="1" ht="13.5" customHeight="1">
      <c r="B18" s="50"/>
      <c r="C18" s="50"/>
      <c r="D18" s="50"/>
      <c r="E18" s="53"/>
      <c r="F18" s="50"/>
      <c r="G18" s="50"/>
      <c r="H18" s="61"/>
      <c r="I18" s="61"/>
      <c r="J18" s="81"/>
      <c r="K18" s="81"/>
      <c r="L18" s="81"/>
      <c r="N18" s="50"/>
      <c r="O18" s="50"/>
      <c r="P18" s="50"/>
      <c r="Q18" s="50"/>
      <c r="R18" s="61"/>
      <c r="S18" s="60"/>
      <c r="T18" s="61"/>
      <c r="V18" s="50"/>
      <c r="W18" s="50"/>
      <c r="X18" s="50"/>
      <c r="Y18" s="50"/>
      <c r="Z18" s="61"/>
    </row>
    <row r="19" spans="1:26" s="49" customFormat="1" ht="24" customHeight="1">
      <c r="B19" s="50"/>
      <c r="C19" s="51" t="s">
        <v>3</v>
      </c>
      <c r="D19" s="50"/>
      <c r="E19" s="50"/>
      <c r="F19" s="50"/>
      <c r="G19" s="50"/>
      <c r="H19" s="50"/>
      <c r="I19" s="50"/>
      <c r="J19" s="50"/>
      <c r="K19" s="50"/>
      <c r="L19" s="50"/>
      <c r="N19" s="50"/>
      <c r="O19" s="51"/>
      <c r="P19" s="50"/>
      <c r="Q19" s="50"/>
      <c r="R19" s="50"/>
      <c r="S19" s="50"/>
      <c r="T19" s="50"/>
      <c r="V19" s="50"/>
      <c r="W19" s="51"/>
      <c r="X19" s="50"/>
      <c r="Y19" s="50"/>
      <c r="Z19" s="50"/>
    </row>
    <row r="20" spans="1:26" s="49" customFormat="1" ht="23.25" customHeight="1">
      <c r="A20" s="50"/>
      <c r="B20" s="50"/>
      <c r="C20" s="50"/>
      <c r="D20" s="50"/>
      <c r="E20" s="50"/>
      <c r="F20" s="50"/>
      <c r="G20" s="50"/>
      <c r="H20" s="62"/>
      <c r="I20" s="62"/>
      <c r="J20" s="62"/>
      <c r="K20" s="62"/>
      <c r="L20" s="63"/>
      <c r="M20" s="50"/>
      <c r="N20" s="50"/>
      <c r="O20" s="50"/>
      <c r="P20" s="50"/>
      <c r="Q20" s="50"/>
      <c r="R20" s="62"/>
      <c r="S20" s="62"/>
      <c r="T20" s="63"/>
      <c r="U20" s="50"/>
      <c r="V20" s="50"/>
      <c r="W20" s="50"/>
      <c r="X20" s="50"/>
      <c r="Y20" s="50"/>
      <c r="Z20" s="62"/>
    </row>
    <row r="21" spans="1:26" ht="29.1" customHeight="1">
      <c r="B21" s="21" t="s">
        <v>4</v>
      </c>
      <c r="C21" s="22" t="s">
        <v>5</v>
      </c>
      <c r="D21" s="22" t="s">
        <v>6</v>
      </c>
      <c r="E21" s="22" t="s">
        <v>12</v>
      </c>
      <c r="F21" s="181" t="s">
        <v>0</v>
      </c>
      <c r="G21" s="182"/>
      <c r="H21" s="181" t="s">
        <v>14</v>
      </c>
      <c r="I21" s="182"/>
      <c r="J21" s="181" t="s">
        <v>16</v>
      </c>
      <c r="K21" s="182"/>
      <c r="L21" s="20" t="s">
        <v>15</v>
      </c>
      <c r="N21" s="8"/>
      <c r="O21" s="8"/>
      <c r="P21" s="8"/>
      <c r="Q21" s="8"/>
      <c r="R21" s="8"/>
      <c r="S21" s="8"/>
      <c r="T21" s="9"/>
      <c r="V21" s="8"/>
      <c r="W21" s="8"/>
      <c r="X21" s="8"/>
      <c r="Y21" s="8"/>
      <c r="Z21" s="8"/>
    </row>
    <row r="22" spans="1:26" ht="29.1" customHeight="1">
      <c r="B22" s="172" t="str">
        <f>'輸入品消費税（日和産業）'!B21:C21</f>
        <v>8月分</v>
      </c>
      <c r="C22" s="173"/>
      <c r="D22" s="44" t="s">
        <v>17</v>
      </c>
      <c r="E22" s="44"/>
      <c r="F22" s="45"/>
      <c r="G22" s="46"/>
      <c r="H22" s="80"/>
      <c r="I22" s="46"/>
      <c r="J22" s="45"/>
      <c r="K22" s="46"/>
      <c r="L22" s="47"/>
      <c r="N22" s="8"/>
      <c r="O22" s="8"/>
      <c r="P22" s="8"/>
      <c r="Q22" s="8"/>
      <c r="R22" s="8"/>
      <c r="S22" s="8"/>
      <c r="T22" s="9"/>
      <c r="V22" s="8"/>
      <c r="W22" s="8"/>
      <c r="X22" s="8"/>
      <c r="Y22" s="8"/>
      <c r="Z22" s="8"/>
    </row>
    <row r="23" spans="1:26" ht="40.5" customHeight="1">
      <c r="A23" s="2"/>
      <c r="B23" s="26">
        <v>9</v>
      </c>
      <c r="C23" s="70">
        <v>18</v>
      </c>
      <c r="D23" s="43" t="s">
        <v>30</v>
      </c>
      <c r="E23" s="69" t="s">
        <v>34</v>
      </c>
      <c r="F23" s="35"/>
      <c r="G23" s="39"/>
      <c r="H23" s="71">
        <v>-980000</v>
      </c>
      <c r="I23" s="74"/>
      <c r="J23" s="73"/>
      <c r="K23" s="75"/>
      <c r="L23" s="72">
        <v>-1963100</v>
      </c>
      <c r="M23" s="2"/>
      <c r="N23" s="10"/>
      <c r="O23" s="15"/>
      <c r="P23" s="67">
        <v>7</v>
      </c>
      <c r="Q23" s="68">
        <v>1</v>
      </c>
      <c r="R23" s="43" t="s">
        <v>20</v>
      </c>
      <c r="S23" s="23" t="s">
        <v>34</v>
      </c>
      <c r="T23" s="35"/>
      <c r="U23" s="39"/>
      <c r="V23" s="25">
        <v>400000</v>
      </c>
      <c r="W23" s="24"/>
      <c r="X23" s="25"/>
      <c r="Y23" s="30"/>
      <c r="Z23" s="32">
        <v>330000</v>
      </c>
    </row>
    <row r="24" spans="1:26" ht="40.5" customHeight="1">
      <c r="A24" s="2"/>
      <c r="B24" s="26">
        <v>9</v>
      </c>
      <c r="C24" s="70">
        <v>18</v>
      </c>
      <c r="D24" s="43" t="s">
        <v>30</v>
      </c>
      <c r="E24" s="69" t="s">
        <v>34</v>
      </c>
      <c r="F24" s="35"/>
      <c r="G24" s="39"/>
      <c r="H24" s="71">
        <v>980000</v>
      </c>
      <c r="I24" s="74"/>
      <c r="J24" s="73"/>
      <c r="K24" s="75"/>
      <c r="L24" s="72">
        <f>1963100-1500</f>
        <v>1961600</v>
      </c>
      <c r="M24" s="2"/>
      <c r="N24" s="10"/>
      <c r="O24" s="15"/>
      <c r="P24" s="11"/>
      <c r="Q24" s="8"/>
      <c r="R24" s="12"/>
      <c r="S24" s="13"/>
      <c r="T24" s="14"/>
      <c r="U24" s="2"/>
      <c r="V24" s="10"/>
      <c r="W24" s="15"/>
      <c r="X24" s="16"/>
      <c r="Y24" s="8"/>
      <c r="Z24" s="12"/>
    </row>
    <row r="25" spans="1:26" ht="40.5" customHeight="1">
      <c r="A25" s="2"/>
      <c r="B25" s="26"/>
      <c r="C25" s="70"/>
      <c r="D25" s="43"/>
      <c r="E25" s="69"/>
      <c r="F25" s="35"/>
      <c r="G25" s="39"/>
      <c r="H25" s="71"/>
      <c r="I25" s="74"/>
      <c r="J25" s="73"/>
      <c r="K25" s="75"/>
      <c r="L25" s="72"/>
      <c r="M25" s="2"/>
      <c r="N25" s="10"/>
      <c r="O25" s="15"/>
      <c r="P25" s="11"/>
      <c r="Q25" s="8"/>
      <c r="R25" s="12"/>
      <c r="S25" s="13"/>
      <c r="T25" s="14"/>
      <c r="U25" s="2"/>
      <c r="V25" s="10"/>
      <c r="W25" s="15"/>
      <c r="X25" s="16"/>
      <c r="Y25" s="8"/>
      <c r="Z25" s="12"/>
    </row>
    <row r="26" spans="1:26" ht="40.5" customHeight="1">
      <c r="A26" s="2"/>
      <c r="B26" s="90"/>
      <c r="C26" s="70"/>
      <c r="D26" s="43"/>
      <c r="E26" s="69"/>
      <c r="F26" s="35"/>
      <c r="G26" s="39"/>
      <c r="H26" s="71"/>
      <c r="I26" s="74"/>
      <c r="J26" s="73"/>
      <c r="K26" s="75"/>
      <c r="L26" s="72"/>
      <c r="M26" s="2"/>
      <c r="N26" s="10"/>
      <c r="O26" s="15"/>
      <c r="P26" s="11"/>
      <c r="Q26" s="8"/>
      <c r="R26" s="12"/>
      <c r="S26" s="13"/>
      <c r="T26" s="14"/>
      <c r="U26" s="2"/>
      <c r="V26" s="10"/>
      <c r="W26" s="15"/>
      <c r="X26" s="16"/>
      <c r="Y26" s="8"/>
      <c r="Z26" s="12"/>
    </row>
    <row r="27" spans="1:26" ht="40.5" customHeight="1">
      <c r="A27" s="2"/>
      <c r="B27" s="26"/>
      <c r="C27" s="27"/>
      <c r="D27" s="43"/>
      <c r="E27" s="23"/>
      <c r="F27" s="37"/>
      <c r="G27" s="40"/>
      <c r="H27" s="71"/>
      <c r="I27" s="74"/>
      <c r="J27" s="73"/>
      <c r="K27" s="75"/>
      <c r="L27" s="72"/>
      <c r="M27" s="2"/>
      <c r="N27" s="10"/>
      <c r="O27" s="15"/>
      <c r="P27" s="11"/>
      <c r="Q27" s="8"/>
      <c r="R27" s="12"/>
      <c r="S27" s="13"/>
      <c r="T27" s="14"/>
      <c r="U27" s="2"/>
      <c r="V27" s="10"/>
      <c r="W27" s="15"/>
      <c r="X27" s="16"/>
      <c r="Y27" s="8"/>
      <c r="Z27" s="12"/>
    </row>
    <row r="28" spans="1:26" ht="40.5" customHeight="1">
      <c r="A28" s="2"/>
      <c r="B28" s="26"/>
      <c r="C28" s="27"/>
      <c r="D28" s="43"/>
      <c r="E28" s="23"/>
      <c r="F28" s="37"/>
      <c r="G28" s="40"/>
      <c r="H28" s="71"/>
      <c r="I28" s="74"/>
      <c r="J28" s="73"/>
      <c r="K28" s="75"/>
      <c r="L28" s="72"/>
      <c r="M28" s="2"/>
      <c r="N28" s="10"/>
      <c r="O28" s="15"/>
      <c r="P28" s="11"/>
      <c r="Q28" s="8"/>
      <c r="R28" s="12"/>
      <c r="S28" s="13"/>
      <c r="T28" s="14"/>
      <c r="U28" s="2"/>
      <c r="V28" s="10"/>
      <c r="W28" s="15"/>
      <c r="X28" s="11"/>
      <c r="Y28" s="8"/>
      <c r="Z28" s="12"/>
    </row>
    <row r="29" spans="1:26" ht="40.5" customHeight="1">
      <c r="A29" s="2"/>
      <c r="B29" s="26"/>
      <c r="C29" s="27"/>
      <c r="D29" s="43"/>
      <c r="E29" s="23"/>
      <c r="F29" s="37"/>
      <c r="G29" s="40"/>
      <c r="H29" s="71"/>
      <c r="I29" s="74"/>
      <c r="J29" s="73"/>
      <c r="K29" s="75"/>
      <c r="L29" s="72"/>
      <c r="M29" s="2"/>
      <c r="N29" s="10"/>
      <c r="O29" s="15"/>
      <c r="P29" s="11"/>
      <c r="Q29" s="8"/>
      <c r="R29" s="12"/>
      <c r="S29" s="13"/>
      <c r="T29" s="14"/>
      <c r="U29" s="2"/>
      <c r="V29" s="10"/>
      <c r="W29" s="15"/>
      <c r="X29" s="11"/>
      <c r="Y29" s="8"/>
      <c r="Z29" s="12"/>
    </row>
    <row r="30" spans="1:26" ht="40.5" customHeight="1">
      <c r="A30" s="2"/>
      <c r="B30" s="26"/>
      <c r="C30" s="27"/>
      <c r="D30" s="43"/>
      <c r="E30" s="23"/>
      <c r="F30" s="37"/>
      <c r="G30" s="40"/>
      <c r="H30" s="71"/>
      <c r="I30" s="74"/>
      <c r="J30" s="73"/>
      <c r="K30" s="75"/>
      <c r="L30" s="72"/>
      <c r="M30" s="2"/>
      <c r="N30" s="10"/>
      <c r="O30" s="15"/>
      <c r="P30" s="11"/>
      <c r="Q30" s="8"/>
      <c r="R30" s="12"/>
      <c r="S30" s="13"/>
      <c r="T30" s="14"/>
      <c r="U30" s="2"/>
      <c r="V30" s="10"/>
      <c r="W30" s="15"/>
      <c r="X30" s="11"/>
      <c r="Y30" s="8"/>
      <c r="Z30" s="12"/>
    </row>
    <row r="31" spans="1:26" ht="40.5" customHeight="1">
      <c r="A31" s="2"/>
      <c r="B31" s="26"/>
      <c r="C31" s="27"/>
      <c r="D31" s="33"/>
      <c r="E31" s="23"/>
      <c r="F31" s="37"/>
      <c r="G31" s="40"/>
      <c r="H31" s="71"/>
      <c r="I31" s="74"/>
      <c r="J31" s="73"/>
      <c r="K31" s="75"/>
      <c r="L31" s="72"/>
      <c r="M31" s="2"/>
      <c r="N31" s="10"/>
      <c r="O31" s="15"/>
      <c r="P31" s="11"/>
      <c r="Q31" s="8"/>
      <c r="R31" s="12"/>
      <c r="S31" s="13"/>
      <c r="T31" s="14"/>
      <c r="U31" s="2"/>
      <c r="V31" s="10"/>
      <c r="W31" s="15"/>
      <c r="X31" s="11"/>
      <c r="Y31" s="8"/>
      <c r="Z31" s="12"/>
    </row>
    <row r="32" spans="1:26" ht="40.5" customHeight="1">
      <c r="A32" s="2"/>
      <c r="B32" s="26"/>
      <c r="C32" s="27"/>
      <c r="D32" s="33"/>
      <c r="E32" s="23"/>
      <c r="F32" s="37"/>
      <c r="G32" s="40"/>
      <c r="H32" s="71"/>
      <c r="I32" s="74"/>
      <c r="J32" s="73"/>
      <c r="K32" s="75"/>
      <c r="L32" s="72"/>
      <c r="M32" s="2"/>
      <c r="N32" s="10"/>
      <c r="O32" s="15"/>
      <c r="P32" s="11"/>
      <c r="Q32" s="8"/>
      <c r="R32" s="12"/>
      <c r="S32" s="13"/>
      <c r="T32" s="14"/>
      <c r="U32" s="2"/>
      <c r="V32" s="10"/>
      <c r="W32" s="15"/>
      <c r="X32" s="11"/>
      <c r="Y32" s="8"/>
      <c r="Z32" s="12"/>
    </row>
    <row r="33" spans="1:25" ht="40.5" customHeight="1">
      <c r="A33" s="2"/>
      <c r="B33" s="175" t="s">
        <v>35</v>
      </c>
      <c r="C33" s="190"/>
      <c r="D33" s="190"/>
      <c r="E33" s="191"/>
      <c r="F33" s="41"/>
      <c r="G33" s="38"/>
      <c r="H33" s="78">
        <f>H24</f>
        <v>980000</v>
      </c>
      <c r="I33" s="34" t="s">
        <v>36</v>
      </c>
      <c r="J33" s="76"/>
      <c r="K33" s="77"/>
      <c r="L33" s="79">
        <f>SUM(L23:L32)</f>
        <v>-1500</v>
      </c>
      <c r="M33" s="2"/>
      <c r="N33" s="10"/>
      <c r="O33" s="15"/>
      <c r="P33" s="11"/>
      <c r="Q33" s="8"/>
      <c r="R33" s="12"/>
      <c r="S33" s="13"/>
      <c r="T33" s="14"/>
      <c r="U33" s="2"/>
      <c r="V33" s="10"/>
      <c r="W33" s="15"/>
      <c r="X33" s="11"/>
      <c r="Y33" s="8"/>
    </row>
    <row r="34" spans="1:25" ht="40.5" customHeight="1">
      <c r="B34" s="65"/>
      <c r="C34" s="50"/>
      <c r="D34" s="50"/>
      <c r="E34" s="50"/>
      <c r="F34" s="50"/>
      <c r="G34" s="50"/>
      <c r="H34" s="62"/>
      <c r="I34" s="62"/>
      <c r="J34" s="62"/>
      <c r="K34" s="62"/>
      <c r="L34" s="63"/>
      <c r="N34" s="168"/>
      <c r="O34" s="169"/>
      <c r="P34" s="169"/>
      <c r="Q34" s="169"/>
      <c r="R34" s="12"/>
      <c r="S34" s="13"/>
      <c r="T34" s="14"/>
      <c r="V34" s="168"/>
      <c r="W34" s="169"/>
      <c r="X34" s="169"/>
      <c r="Y34" s="169"/>
    </row>
    <row r="35" spans="1:25" s="49" customFormat="1" ht="14.25" customHeight="1">
      <c r="B35" s="60" t="s">
        <v>43</v>
      </c>
      <c r="C35" s="50"/>
      <c r="D35" s="50"/>
      <c r="E35" s="50"/>
      <c r="G35" s="92"/>
      <c r="H35" s="170" t="s">
        <v>29</v>
      </c>
      <c r="I35" s="170"/>
      <c r="J35" s="170"/>
      <c r="K35" s="192">
        <f>'輸入品消費税（日和産業）'!K34:K34</f>
        <v>45992</v>
      </c>
      <c r="L35" s="192"/>
      <c r="N35" s="65"/>
      <c r="O35" s="50"/>
      <c r="P35" s="50"/>
      <c r="Q35" s="50"/>
      <c r="R35" s="62"/>
      <c r="S35" s="62"/>
      <c r="T35" s="63"/>
      <c r="V35" s="65"/>
      <c r="W35" s="50"/>
      <c r="X35" s="50"/>
      <c r="Y35" s="50"/>
    </row>
    <row r="36" spans="1:25" s="49" customFormat="1" ht="20.25" customHeight="1">
      <c r="B36" s="2"/>
      <c r="C36" s="2"/>
      <c r="D36" s="2"/>
      <c r="E36" s="2"/>
      <c r="F36" s="2"/>
      <c r="G36" s="2"/>
      <c r="H36" s="17"/>
      <c r="I36" s="17"/>
      <c r="J36" s="17"/>
      <c r="K36" s="17"/>
      <c r="L36" s="2"/>
      <c r="N36" s="65"/>
      <c r="O36" s="50"/>
      <c r="P36" s="50"/>
      <c r="Q36" s="50"/>
      <c r="R36" s="62"/>
      <c r="S36" s="62"/>
      <c r="T36" s="63"/>
      <c r="V36" s="65"/>
      <c r="W36" s="50"/>
      <c r="X36" s="50"/>
      <c r="Y36" s="50"/>
    </row>
    <row r="37" spans="1:25" ht="14.25" customHeigh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R37" s="2"/>
      <c r="S37" s="2"/>
      <c r="T37" s="2"/>
    </row>
    <row r="38" spans="1:25" ht="14.25" customHeight="1">
      <c r="A38" s="2"/>
      <c r="B38" s="2"/>
      <c r="C38" s="11"/>
      <c r="D38" s="2"/>
      <c r="E38" s="2"/>
      <c r="F38" s="2"/>
      <c r="G38" s="2"/>
      <c r="H38" s="2"/>
      <c r="I38" s="2"/>
      <c r="J38" s="2"/>
      <c r="K38" s="2"/>
      <c r="L38" s="3"/>
      <c r="O38" s="2"/>
      <c r="P38" s="2"/>
      <c r="Q38" s="2"/>
      <c r="R38" s="4"/>
      <c r="S38" s="5"/>
      <c r="T38" s="5"/>
    </row>
    <row r="39" spans="1:25" ht="14.25" customHeight="1">
      <c r="B39" s="2"/>
      <c r="C39" s="2"/>
      <c r="D39" s="2"/>
      <c r="E39" s="2"/>
      <c r="F39" s="2"/>
      <c r="G39" s="2"/>
      <c r="H39" s="5"/>
      <c r="I39" s="2"/>
      <c r="J39" s="2"/>
      <c r="K39" s="2"/>
      <c r="L39" s="5"/>
      <c r="O39" s="2"/>
      <c r="P39" s="2"/>
      <c r="Q39" s="2"/>
      <c r="R39" s="4"/>
      <c r="S39" s="5"/>
      <c r="T39" s="5"/>
      <c r="U39" s="2"/>
    </row>
    <row r="40" spans="1:25" ht="14.25" customHeight="1">
      <c r="A40" s="2"/>
      <c r="B40" s="2"/>
      <c r="C40" s="18"/>
      <c r="D40" s="2"/>
      <c r="E40" s="2"/>
      <c r="F40" s="2"/>
      <c r="G40" s="2"/>
      <c r="H40" s="5"/>
      <c r="I40" s="2"/>
      <c r="J40" s="11"/>
      <c r="K40" s="11"/>
      <c r="L40" s="5"/>
      <c r="O40" s="2"/>
      <c r="P40" s="6"/>
      <c r="Q40" s="2"/>
      <c r="R40" s="4"/>
      <c r="S40" s="5"/>
      <c r="T40" s="5"/>
      <c r="U40" s="2"/>
    </row>
    <row r="41" spans="1:25" ht="14.25" customHeight="1">
      <c r="B41" s="2"/>
      <c r="C41" s="2"/>
      <c r="D41" s="2"/>
      <c r="E41" s="2"/>
      <c r="F41" s="2"/>
      <c r="G41" s="2"/>
      <c r="H41" s="5">
        <f>SUM(H24:H32)</f>
        <v>980000</v>
      </c>
      <c r="I41" s="2"/>
      <c r="J41" s="2"/>
      <c r="K41" s="2"/>
      <c r="L41" s="5">
        <f>SUM(L24:L28)</f>
        <v>1961600</v>
      </c>
      <c r="O41" s="2"/>
      <c r="P41" s="2"/>
      <c r="Q41" s="2"/>
      <c r="R41" s="4"/>
      <c r="S41" s="5"/>
      <c r="T41" s="5"/>
      <c r="U41" s="2"/>
    </row>
  </sheetData>
  <mergeCells count="13">
    <mergeCell ref="J21:K21"/>
    <mergeCell ref="A4:L4"/>
    <mergeCell ref="J13:L13"/>
    <mergeCell ref="H15:L15"/>
    <mergeCell ref="J9:L9"/>
    <mergeCell ref="F21:G21"/>
    <mergeCell ref="H21:I21"/>
    <mergeCell ref="B22:C22"/>
    <mergeCell ref="N34:Q34"/>
    <mergeCell ref="V34:Y34"/>
    <mergeCell ref="B33:E33"/>
    <mergeCell ref="K35:L35"/>
    <mergeCell ref="H35:J35"/>
  </mergeCells>
  <phoneticPr fontId="1"/>
  <printOptions horizontalCentered="1"/>
  <pageMargins left="0" right="0" top="0.39370078740157483" bottom="0" header="0" footer="0"/>
  <pageSetup paperSize="9" orientation="portrait" horizontalDpi="4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indexed="10"/>
  </sheetPr>
  <dimension ref="A1:Z41"/>
  <sheetViews>
    <sheetView showGridLines="0" view="pageBreakPreview" topLeftCell="A13" zoomScaleNormal="100" zoomScaleSheetLayoutView="85" workbookViewId="0">
      <selection activeCell="B35" sqref="B35"/>
    </sheetView>
  </sheetViews>
  <sheetFormatPr defaultRowHeight="14.25"/>
  <cols>
    <col min="1" max="1" width="1.625" style="1" customWidth="1"/>
    <col min="2" max="3" width="4.125" style="1" customWidth="1"/>
    <col min="4" max="4" width="22.375" style="1" customWidth="1"/>
    <col min="5" max="5" width="6.75" style="1" customWidth="1"/>
    <col min="6" max="6" width="5.875" style="1" customWidth="1"/>
    <col min="7" max="7" width="0.875" style="1" customWidth="1"/>
    <col min="8" max="8" width="11.625" style="1" customWidth="1"/>
    <col min="9" max="9" width="1.75" style="1" customWidth="1"/>
    <col min="10" max="10" width="11.875" style="1" customWidth="1"/>
    <col min="11" max="11" width="0.75" style="1" customWidth="1"/>
    <col min="12" max="12" width="17.5" style="1" customWidth="1"/>
    <col min="13" max="13" width="1.625" style="1" customWidth="1"/>
    <col min="14" max="15" width="4.125" style="1" customWidth="1"/>
    <col min="16" max="16" width="20.875" style="1" customWidth="1"/>
    <col min="17" max="17" width="5.875" style="1" customWidth="1"/>
    <col min="18" max="18" width="11.625" style="1" customWidth="1"/>
    <col min="19" max="19" width="11.25" style="1" customWidth="1"/>
    <col min="20" max="20" width="17.5" style="1" customWidth="1"/>
    <col min="21" max="65" width="9" style="1"/>
    <col min="66" max="68" width="9.125" style="1" bestFit="1" customWidth="1"/>
    <col min="69" max="69" width="10.5" style="1" bestFit="1" customWidth="1"/>
    <col min="70" max="137" width="9" style="1"/>
    <col min="138" max="139" width="9.125" style="1" bestFit="1" customWidth="1"/>
    <col min="140" max="140" width="10.5" style="1" bestFit="1" customWidth="1"/>
    <col min="141" max="146" width="9" style="1"/>
    <col min="147" max="148" width="9.125" style="1" bestFit="1" customWidth="1"/>
    <col min="149" max="149" width="11.625" style="1" bestFit="1" customWidth="1"/>
    <col min="150" max="16384" width="9" style="1"/>
  </cols>
  <sheetData>
    <row r="1" spans="1:12">
      <c r="C1" s="1" t="s">
        <v>37</v>
      </c>
    </row>
    <row r="2" spans="1:12">
      <c r="E2" s="19"/>
      <c r="F2" s="19"/>
      <c r="G2" s="19"/>
      <c r="H2" s="19"/>
      <c r="I2" s="19"/>
      <c r="J2" s="19"/>
      <c r="K2" s="19"/>
    </row>
    <row r="3" spans="1:12" ht="18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s="49" customFormat="1" ht="30.75" customHeight="1">
      <c r="A4" s="174" t="s">
        <v>1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</row>
    <row r="5" spans="1:12" s="49" customFormat="1" ht="10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2" s="49" customFormat="1" ht="14.2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 s="49" customFormat="1" ht="18" customHeight="1">
      <c r="B7" s="50"/>
      <c r="C7" s="51"/>
      <c r="D7" s="50"/>
      <c r="E7" s="50"/>
      <c r="F7" s="50"/>
      <c r="G7" s="50"/>
      <c r="H7" s="50"/>
      <c r="I7" s="50"/>
      <c r="J7" s="52" t="s">
        <v>19</v>
      </c>
      <c r="K7" s="50"/>
      <c r="L7" s="82">
        <v>533</v>
      </c>
    </row>
    <row r="8" spans="1:12" s="49" customFormat="1" ht="10.5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3"/>
    </row>
    <row r="9" spans="1:12" s="49" customFormat="1" ht="18" customHeight="1">
      <c r="B9" s="50"/>
      <c r="C9" s="48"/>
      <c r="D9" s="50"/>
      <c r="E9" s="50"/>
      <c r="F9" s="50"/>
      <c r="G9" s="50"/>
      <c r="H9" s="50"/>
      <c r="I9" s="50"/>
      <c r="J9" s="193">
        <v>39818</v>
      </c>
      <c r="K9" s="193"/>
      <c r="L9" s="193"/>
    </row>
    <row r="10" spans="1:12" s="49" customFormat="1" ht="10.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5"/>
    </row>
    <row r="11" spans="1:12" s="49" customFormat="1" ht="18" customHeight="1">
      <c r="B11" s="50"/>
      <c r="C11" s="50"/>
      <c r="D11" s="56"/>
      <c r="E11" s="50"/>
      <c r="F11" s="50"/>
      <c r="G11" s="50"/>
      <c r="H11" s="50"/>
      <c r="I11" s="50"/>
      <c r="J11" s="51"/>
      <c r="K11" s="51"/>
      <c r="L11" s="50"/>
    </row>
    <row r="12" spans="1:12" s="49" customFormat="1" ht="10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2" s="49" customFormat="1" ht="20.25" customHeight="1">
      <c r="B13" s="50"/>
      <c r="C13" s="48" t="s">
        <v>9</v>
      </c>
      <c r="D13" s="64"/>
      <c r="F13" s="54" t="s">
        <v>2</v>
      </c>
      <c r="G13" s="54"/>
      <c r="J13" s="178"/>
      <c r="K13" s="178"/>
      <c r="L13" s="178"/>
    </row>
    <row r="14" spans="1:12" s="49" customFormat="1" ht="6" customHeight="1">
      <c r="B14" s="50"/>
      <c r="C14" s="58"/>
      <c r="D14" s="58"/>
      <c r="E14" s="58"/>
      <c r="F14" s="58"/>
      <c r="G14" s="50"/>
      <c r="H14" s="59"/>
      <c r="I14" s="59"/>
      <c r="J14" s="50"/>
      <c r="K14" s="50"/>
      <c r="L14" s="50"/>
    </row>
    <row r="15" spans="1:12" s="49" customFormat="1" ht="30" customHeight="1">
      <c r="A15" s="50"/>
      <c r="B15" s="50"/>
      <c r="C15" s="50"/>
      <c r="D15" s="50"/>
      <c r="E15" s="50"/>
      <c r="F15" s="50"/>
      <c r="G15" s="50"/>
      <c r="H15" s="179"/>
      <c r="I15" s="179"/>
      <c r="J15" s="179"/>
      <c r="K15" s="179"/>
      <c r="L15" s="179"/>
    </row>
    <row r="16" spans="1:12" s="49" customFormat="1" ht="13.5" customHeight="1">
      <c r="B16" s="50"/>
      <c r="C16" s="50"/>
      <c r="D16" s="50"/>
      <c r="E16" s="53"/>
      <c r="F16" s="50"/>
      <c r="G16" s="50"/>
      <c r="H16" s="61"/>
      <c r="I16" s="61"/>
      <c r="J16" s="81" t="s">
        <v>38</v>
      </c>
      <c r="K16" s="60"/>
      <c r="L16" s="60" t="s">
        <v>23</v>
      </c>
    </row>
    <row r="17" spans="1:26" s="49" customFormat="1" ht="13.5" customHeight="1">
      <c r="B17" s="50"/>
      <c r="C17" s="50"/>
      <c r="D17" s="50"/>
      <c r="E17" s="53"/>
      <c r="F17" s="50"/>
      <c r="G17" s="50"/>
      <c r="H17" s="61"/>
      <c r="I17" s="61"/>
      <c r="J17" s="81" t="s">
        <v>39</v>
      </c>
      <c r="K17" s="60"/>
      <c r="L17" s="60" t="s">
        <v>40</v>
      </c>
      <c r="N17" s="50"/>
      <c r="O17" s="50"/>
      <c r="P17" s="50"/>
      <c r="Q17" s="50"/>
      <c r="R17" s="61"/>
      <c r="S17" s="60"/>
      <c r="T17" s="61"/>
      <c r="V17" s="50"/>
      <c r="W17" s="50"/>
      <c r="X17" s="50"/>
      <c r="Y17" s="50"/>
      <c r="Z17" s="61"/>
    </row>
    <row r="18" spans="1:26" s="49" customFormat="1" ht="13.5" customHeight="1">
      <c r="B18" s="50"/>
      <c r="C18" s="50"/>
      <c r="D18" s="50"/>
      <c r="E18" s="53"/>
      <c r="F18" s="50"/>
      <c r="G18" s="50"/>
      <c r="H18" s="61"/>
      <c r="I18" s="61"/>
      <c r="J18" s="81"/>
      <c r="K18" s="81"/>
      <c r="L18" s="81"/>
      <c r="N18" s="50"/>
      <c r="O18" s="50"/>
      <c r="P18" s="50"/>
      <c r="Q18" s="50"/>
      <c r="R18" s="61"/>
      <c r="S18" s="60"/>
      <c r="T18" s="61"/>
      <c r="V18" s="50"/>
      <c r="W18" s="50"/>
      <c r="X18" s="50"/>
      <c r="Y18" s="50"/>
      <c r="Z18" s="61"/>
    </row>
    <row r="19" spans="1:26" s="49" customFormat="1" ht="24" customHeight="1">
      <c r="B19" s="50"/>
      <c r="C19" s="51" t="s">
        <v>3</v>
      </c>
      <c r="D19" s="50"/>
      <c r="E19" s="50"/>
      <c r="F19" s="50"/>
      <c r="G19" s="50"/>
      <c r="H19" s="50"/>
      <c r="I19" s="50"/>
      <c r="J19" s="50"/>
      <c r="K19" s="50"/>
      <c r="L19" s="50"/>
      <c r="N19" s="50"/>
      <c r="O19" s="51"/>
      <c r="P19" s="50"/>
      <c r="Q19" s="50"/>
      <c r="R19" s="50"/>
      <c r="S19" s="50"/>
      <c r="T19" s="50"/>
      <c r="V19" s="50"/>
      <c r="W19" s="51"/>
      <c r="X19" s="50"/>
      <c r="Y19" s="50"/>
      <c r="Z19" s="50"/>
    </row>
    <row r="20" spans="1:26" s="49" customFormat="1" ht="23.25" customHeight="1">
      <c r="A20" s="50"/>
      <c r="B20" s="50"/>
      <c r="C20" s="50"/>
      <c r="D20" s="50"/>
      <c r="E20" s="50"/>
      <c r="F20" s="50"/>
      <c r="G20" s="50"/>
      <c r="H20" s="62"/>
      <c r="I20" s="62"/>
      <c r="J20" s="62"/>
      <c r="K20" s="62"/>
      <c r="L20" s="63"/>
      <c r="M20" s="50"/>
      <c r="N20" s="50"/>
      <c r="O20" s="50"/>
      <c r="P20" s="50"/>
      <c r="Q20" s="50"/>
      <c r="R20" s="62"/>
      <c r="S20" s="62"/>
      <c r="T20" s="63"/>
      <c r="U20" s="50"/>
      <c r="V20" s="50"/>
      <c r="W20" s="50"/>
      <c r="X20" s="50"/>
      <c r="Y20" s="50"/>
      <c r="Z20" s="62"/>
    </row>
    <row r="21" spans="1:26" ht="29.1" customHeight="1">
      <c r="B21" s="21" t="s">
        <v>4</v>
      </c>
      <c r="C21" s="22" t="s">
        <v>5</v>
      </c>
      <c r="D21" s="22" t="s">
        <v>6</v>
      </c>
      <c r="E21" s="22" t="s">
        <v>12</v>
      </c>
      <c r="F21" s="181" t="s">
        <v>0</v>
      </c>
      <c r="G21" s="182"/>
      <c r="H21" s="181" t="s">
        <v>14</v>
      </c>
      <c r="I21" s="182"/>
      <c r="J21" s="181" t="s">
        <v>16</v>
      </c>
      <c r="K21" s="182"/>
      <c r="L21" s="20" t="s">
        <v>15</v>
      </c>
      <c r="N21" s="8"/>
      <c r="O21" s="8"/>
      <c r="P21" s="8"/>
      <c r="Q21" s="8"/>
      <c r="R21" s="8"/>
      <c r="S21" s="8"/>
      <c r="T21" s="9"/>
      <c r="V21" s="8"/>
      <c r="W21" s="8"/>
      <c r="X21" s="8"/>
      <c r="Y21" s="8"/>
      <c r="Z21" s="8"/>
    </row>
    <row r="22" spans="1:26" ht="29.1" customHeight="1">
      <c r="B22" s="172" t="s">
        <v>41</v>
      </c>
      <c r="C22" s="173"/>
      <c r="D22" s="44" t="s">
        <v>17</v>
      </c>
      <c r="E22" s="44"/>
      <c r="F22" s="45"/>
      <c r="G22" s="46"/>
      <c r="H22" s="80"/>
      <c r="I22" s="46"/>
      <c r="J22" s="45"/>
      <c r="K22" s="46"/>
      <c r="L22" s="93"/>
      <c r="N22" s="8"/>
      <c r="O22" s="8"/>
      <c r="P22" s="8"/>
      <c r="Q22" s="8"/>
      <c r="R22" s="8"/>
      <c r="S22" s="8"/>
      <c r="T22" s="9"/>
      <c r="V22" s="8"/>
      <c r="W22" s="8"/>
      <c r="X22" s="8"/>
      <c r="Y22" s="8"/>
      <c r="Z22" s="8"/>
    </row>
    <row r="23" spans="1:26" ht="40.5" customHeight="1">
      <c r="A23" s="2"/>
      <c r="B23" s="26">
        <v>9</v>
      </c>
      <c r="C23" s="70">
        <v>18</v>
      </c>
      <c r="D23" s="43" t="s">
        <v>30</v>
      </c>
      <c r="E23" s="69" t="s">
        <v>34</v>
      </c>
      <c r="F23" s="35"/>
      <c r="G23" s="39"/>
      <c r="H23" s="71">
        <v>-100000</v>
      </c>
      <c r="I23" s="74"/>
      <c r="J23" s="73"/>
      <c r="K23" s="75"/>
      <c r="L23" s="72">
        <v>-200300</v>
      </c>
      <c r="M23" s="2"/>
      <c r="N23" s="10"/>
      <c r="O23" s="15"/>
      <c r="P23" s="67">
        <v>7</v>
      </c>
      <c r="Q23" s="68">
        <v>1</v>
      </c>
      <c r="R23" s="43" t="s">
        <v>20</v>
      </c>
      <c r="S23" s="23" t="s">
        <v>34</v>
      </c>
      <c r="T23" s="35"/>
      <c r="U23" s="39"/>
      <c r="V23" s="25">
        <v>400000</v>
      </c>
      <c r="W23" s="24"/>
      <c r="X23" s="25"/>
      <c r="Y23" s="30"/>
      <c r="Z23" s="32">
        <v>330000</v>
      </c>
    </row>
    <row r="24" spans="1:26" ht="40.5" customHeight="1">
      <c r="A24" s="2"/>
      <c r="B24" s="26">
        <v>9</v>
      </c>
      <c r="C24" s="70">
        <v>18</v>
      </c>
      <c r="D24" s="43" t="s">
        <v>30</v>
      </c>
      <c r="E24" s="69" t="s">
        <v>34</v>
      </c>
      <c r="F24" s="35"/>
      <c r="G24" s="39"/>
      <c r="H24" s="71">
        <v>100000</v>
      </c>
      <c r="I24" s="74"/>
      <c r="J24" s="73"/>
      <c r="K24" s="75"/>
      <c r="L24" s="72">
        <v>200100</v>
      </c>
      <c r="M24" s="2"/>
      <c r="N24" s="10"/>
      <c r="O24" s="15"/>
      <c r="P24" s="11"/>
      <c r="Q24" s="8"/>
      <c r="R24" s="12"/>
      <c r="S24" s="13"/>
      <c r="T24" s="14"/>
      <c r="U24" s="2"/>
      <c r="V24" s="10"/>
      <c r="W24" s="15"/>
      <c r="X24" s="16"/>
      <c r="Y24" s="8"/>
      <c r="Z24" s="12"/>
    </row>
    <row r="25" spans="1:26" ht="40.5" customHeight="1">
      <c r="A25" s="2"/>
      <c r="B25" s="26"/>
      <c r="C25" s="70"/>
      <c r="D25" s="43"/>
      <c r="E25" s="69"/>
      <c r="F25" s="35"/>
      <c r="G25" s="39"/>
      <c r="H25" s="71"/>
      <c r="I25" s="74"/>
      <c r="J25" s="73"/>
      <c r="K25" s="75"/>
      <c r="L25" s="72"/>
      <c r="M25" s="2"/>
      <c r="N25" s="10"/>
      <c r="O25" s="15"/>
      <c r="P25" s="11"/>
      <c r="Q25" s="8"/>
      <c r="R25" s="12"/>
      <c r="S25" s="13"/>
      <c r="T25" s="14"/>
      <c r="U25" s="2"/>
      <c r="V25" s="10"/>
      <c r="W25" s="15"/>
      <c r="X25" s="16"/>
      <c r="Y25" s="8"/>
      <c r="Z25" s="12"/>
    </row>
    <row r="26" spans="1:26" ht="40.5" customHeight="1">
      <c r="A26" s="2"/>
      <c r="B26" s="90"/>
      <c r="C26" s="70"/>
      <c r="D26" s="43"/>
      <c r="E26" s="69"/>
      <c r="F26" s="35"/>
      <c r="G26" s="39"/>
      <c r="H26" s="71"/>
      <c r="I26" s="74"/>
      <c r="J26" s="73"/>
      <c r="K26" s="75"/>
      <c r="L26" s="72"/>
      <c r="M26" s="2"/>
      <c r="N26" s="10"/>
      <c r="O26" s="15"/>
      <c r="P26" s="11"/>
      <c r="Q26" s="8"/>
      <c r="R26" s="12"/>
      <c r="S26" s="13"/>
      <c r="T26" s="14"/>
      <c r="U26" s="2"/>
      <c r="V26" s="10"/>
      <c r="W26" s="15"/>
      <c r="X26" s="16"/>
      <c r="Y26" s="8"/>
      <c r="Z26" s="12"/>
    </row>
    <row r="27" spans="1:26" ht="40.5" customHeight="1">
      <c r="A27" s="2"/>
      <c r="B27" s="26"/>
      <c r="C27" s="27"/>
      <c r="D27" s="43"/>
      <c r="E27" s="23"/>
      <c r="F27" s="37"/>
      <c r="G27" s="40"/>
      <c r="H27" s="71"/>
      <c r="I27" s="74"/>
      <c r="J27" s="73"/>
      <c r="K27" s="75"/>
      <c r="L27" s="72"/>
      <c r="M27" s="2"/>
      <c r="N27" s="10"/>
      <c r="O27" s="15"/>
      <c r="P27" s="11"/>
      <c r="Q27" s="8"/>
      <c r="R27" s="12"/>
      <c r="S27" s="13"/>
      <c r="T27" s="14"/>
      <c r="U27" s="2"/>
      <c r="V27" s="10"/>
      <c r="W27" s="15"/>
      <c r="X27" s="16"/>
      <c r="Y27" s="8"/>
      <c r="Z27" s="12"/>
    </row>
    <row r="28" spans="1:26" ht="40.5" customHeight="1">
      <c r="A28" s="2"/>
      <c r="B28" s="26"/>
      <c r="C28" s="27"/>
      <c r="D28" s="43"/>
      <c r="E28" s="23"/>
      <c r="F28" s="37"/>
      <c r="G28" s="40"/>
      <c r="H28" s="71"/>
      <c r="I28" s="74"/>
      <c r="J28" s="73"/>
      <c r="K28" s="75"/>
      <c r="L28" s="72"/>
      <c r="M28" s="2"/>
      <c r="N28" s="10"/>
      <c r="O28" s="15"/>
      <c r="P28" s="11"/>
      <c r="Q28" s="8"/>
      <c r="R28" s="12"/>
      <c r="S28" s="13"/>
      <c r="T28" s="14"/>
      <c r="U28" s="2"/>
      <c r="V28" s="10"/>
      <c r="W28" s="15"/>
      <c r="X28" s="11"/>
      <c r="Y28" s="8"/>
      <c r="Z28" s="12"/>
    </row>
    <row r="29" spans="1:26" ht="40.5" customHeight="1">
      <c r="A29" s="2"/>
      <c r="B29" s="26"/>
      <c r="C29" s="27"/>
      <c r="D29" s="43"/>
      <c r="E29" s="23"/>
      <c r="F29" s="37"/>
      <c r="G29" s="40"/>
      <c r="H29" s="71"/>
      <c r="I29" s="74"/>
      <c r="J29" s="73"/>
      <c r="K29" s="75"/>
      <c r="L29" s="72"/>
      <c r="M29" s="2"/>
      <c r="N29" s="10"/>
      <c r="O29" s="15"/>
      <c r="P29" s="11"/>
      <c r="Q29" s="8"/>
      <c r="R29" s="12"/>
      <c r="S29" s="13"/>
      <c r="T29" s="14"/>
      <c r="U29" s="2"/>
      <c r="V29" s="10"/>
      <c r="W29" s="15"/>
      <c r="X29" s="11"/>
      <c r="Y29" s="8"/>
      <c r="Z29" s="12"/>
    </row>
    <row r="30" spans="1:26" ht="40.5" customHeight="1">
      <c r="A30" s="2"/>
      <c r="B30" s="26"/>
      <c r="C30" s="27"/>
      <c r="D30" s="43"/>
      <c r="E30" s="23"/>
      <c r="F30" s="37"/>
      <c r="G30" s="40"/>
      <c r="H30" s="71"/>
      <c r="I30" s="74"/>
      <c r="J30" s="73"/>
      <c r="K30" s="75"/>
      <c r="L30" s="72"/>
      <c r="M30" s="2"/>
      <c r="N30" s="10"/>
      <c r="O30" s="15"/>
      <c r="P30" s="11"/>
      <c r="Q30" s="8"/>
      <c r="R30" s="12"/>
      <c r="S30" s="13"/>
      <c r="T30" s="14"/>
      <c r="U30" s="2"/>
      <c r="V30" s="10"/>
      <c r="W30" s="15"/>
      <c r="X30" s="11"/>
      <c r="Y30" s="8"/>
      <c r="Z30" s="12"/>
    </row>
    <row r="31" spans="1:26" ht="40.5" customHeight="1">
      <c r="A31" s="2"/>
      <c r="B31" s="26"/>
      <c r="C31" s="27"/>
      <c r="D31" s="33"/>
      <c r="E31" s="23"/>
      <c r="F31" s="37"/>
      <c r="G31" s="40"/>
      <c r="H31" s="71"/>
      <c r="I31" s="74"/>
      <c r="J31" s="73"/>
      <c r="K31" s="75"/>
      <c r="L31" s="72"/>
      <c r="M31" s="2"/>
      <c r="N31" s="10"/>
      <c r="O31" s="15"/>
      <c r="P31" s="11"/>
      <c r="Q31" s="8"/>
      <c r="R31" s="12"/>
      <c r="S31" s="13"/>
      <c r="T31" s="14"/>
      <c r="U31" s="2"/>
      <c r="V31" s="10"/>
      <c r="W31" s="15"/>
      <c r="X31" s="11"/>
      <c r="Y31" s="8"/>
      <c r="Z31" s="12"/>
    </row>
    <row r="32" spans="1:26" ht="40.5" customHeight="1">
      <c r="A32" s="2"/>
      <c r="B32" s="26"/>
      <c r="C32" s="27"/>
      <c r="D32" s="33"/>
      <c r="E32" s="23"/>
      <c r="F32" s="37"/>
      <c r="G32" s="40"/>
      <c r="H32" s="71"/>
      <c r="I32" s="74"/>
      <c r="J32" s="73"/>
      <c r="K32" s="75"/>
      <c r="L32" s="72"/>
      <c r="M32" s="2"/>
      <c r="N32" s="10"/>
      <c r="O32" s="15"/>
      <c r="P32" s="11"/>
      <c r="Q32" s="8"/>
      <c r="R32" s="12"/>
      <c r="S32" s="13"/>
      <c r="T32" s="14"/>
      <c r="U32" s="2"/>
      <c r="V32" s="10"/>
      <c r="W32" s="15"/>
      <c r="X32" s="11"/>
      <c r="Y32" s="8"/>
      <c r="Z32" s="12"/>
    </row>
    <row r="33" spans="1:25" ht="40.5" customHeight="1">
      <c r="A33" s="2"/>
      <c r="B33" s="175" t="s">
        <v>35</v>
      </c>
      <c r="C33" s="190"/>
      <c r="D33" s="190"/>
      <c r="E33" s="191"/>
      <c r="F33" s="41"/>
      <c r="G33" s="38"/>
      <c r="H33" s="78">
        <f>H24</f>
        <v>100000</v>
      </c>
      <c r="I33" s="34" t="s">
        <v>36</v>
      </c>
      <c r="J33" s="76"/>
      <c r="K33" s="77"/>
      <c r="L33" s="79">
        <f>SUM(L22:L32)</f>
        <v>-200</v>
      </c>
      <c r="M33" s="2"/>
      <c r="N33" s="10"/>
      <c r="O33" s="15"/>
      <c r="P33" s="11"/>
      <c r="Q33" s="8"/>
      <c r="R33" s="12"/>
      <c r="S33" s="13"/>
      <c r="T33" s="14"/>
      <c r="U33" s="2"/>
      <c r="V33" s="10"/>
      <c r="W33" s="15"/>
      <c r="X33" s="11"/>
      <c r="Y33" s="8"/>
    </row>
    <row r="34" spans="1:25" ht="40.5" customHeight="1">
      <c r="B34" s="65"/>
      <c r="C34" s="50"/>
      <c r="D34" s="50"/>
      <c r="E34" s="50"/>
      <c r="F34" s="50"/>
      <c r="G34" s="50"/>
      <c r="H34" s="62"/>
      <c r="I34" s="62"/>
      <c r="J34" s="62"/>
      <c r="K34" s="62"/>
      <c r="L34" s="63"/>
      <c r="N34" s="168"/>
      <c r="O34" s="169"/>
      <c r="P34" s="169"/>
      <c r="Q34" s="169"/>
      <c r="R34" s="12"/>
      <c r="S34" s="13"/>
      <c r="T34" s="14"/>
      <c r="V34" s="168"/>
      <c r="W34" s="169"/>
      <c r="X34" s="169"/>
      <c r="Y34" s="169"/>
    </row>
    <row r="35" spans="1:25" s="49" customFormat="1" ht="14.25" customHeight="1">
      <c r="B35" s="60" t="s">
        <v>43</v>
      </c>
      <c r="C35" s="50"/>
      <c r="D35" s="50"/>
      <c r="E35" s="50"/>
      <c r="G35" s="92"/>
      <c r="H35" s="170" t="s">
        <v>29</v>
      </c>
      <c r="I35" s="170"/>
      <c r="J35" s="170"/>
      <c r="K35" s="192">
        <v>39818</v>
      </c>
      <c r="L35" s="192"/>
      <c r="N35" s="65"/>
      <c r="O35" s="50"/>
      <c r="P35" s="50"/>
      <c r="Q35" s="50"/>
      <c r="R35" s="62"/>
      <c r="S35" s="62"/>
      <c r="T35" s="63"/>
      <c r="V35" s="65"/>
      <c r="W35" s="50"/>
      <c r="X35" s="50"/>
      <c r="Y35" s="50"/>
    </row>
    <row r="36" spans="1:25" s="49" customFormat="1" ht="20.25" customHeight="1">
      <c r="B36" s="2"/>
      <c r="C36" s="2"/>
      <c r="D36" s="2"/>
      <c r="E36" s="2"/>
      <c r="F36" s="2"/>
      <c r="G36" s="2"/>
      <c r="H36" s="17"/>
      <c r="I36" s="17"/>
      <c r="J36" s="17"/>
      <c r="K36" s="17"/>
      <c r="L36" s="2"/>
      <c r="N36" s="65"/>
      <c r="O36" s="50"/>
      <c r="P36" s="50"/>
      <c r="Q36" s="50"/>
      <c r="R36" s="62"/>
      <c r="S36" s="62"/>
      <c r="T36" s="63"/>
      <c r="V36" s="65"/>
      <c r="W36" s="50"/>
      <c r="X36" s="50"/>
      <c r="Y36" s="50"/>
    </row>
    <row r="37" spans="1:25" ht="14.25" customHeigh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R37" s="2"/>
      <c r="S37" s="2"/>
      <c r="T37" s="2"/>
    </row>
    <row r="38" spans="1:25" ht="14.25" customHeight="1">
      <c r="A38" s="2"/>
      <c r="B38" s="2"/>
      <c r="C38" s="11"/>
      <c r="D38" s="2"/>
      <c r="E38" s="2"/>
      <c r="F38" s="2"/>
      <c r="G38" s="2"/>
      <c r="H38" s="2"/>
      <c r="I38" s="2"/>
      <c r="J38" s="2"/>
      <c r="K38" s="2"/>
      <c r="L38" s="3"/>
      <c r="O38" s="2"/>
      <c r="P38" s="2"/>
      <c r="Q38" s="2"/>
      <c r="R38" s="4"/>
      <c r="S38" s="5"/>
      <c r="T38" s="5"/>
    </row>
    <row r="39" spans="1:25" ht="14.25" customHeight="1">
      <c r="B39" s="2"/>
      <c r="C39" s="2"/>
      <c r="D39" s="2"/>
      <c r="E39" s="2"/>
      <c r="F39" s="2"/>
      <c r="G39" s="2"/>
      <c r="H39" s="5"/>
      <c r="I39" s="2"/>
      <c r="J39" s="2"/>
      <c r="K39" s="2"/>
      <c r="L39" s="5"/>
      <c r="O39" s="2"/>
      <c r="P39" s="2"/>
      <c r="Q39" s="2"/>
      <c r="R39" s="4"/>
      <c r="S39" s="5"/>
      <c r="T39" s="5"/>
      <c r="U39" s="2"/>
    </row>
    <row r="40" spans="1:25" ht="14.25" customHeight="1">
      <c r="A40" s="2"/>
      <c r="B40" s="2"/>
      <c r="C40" s="18"/>
      <c r="D40" s="2"/>
      <c r="E40" s="2"/>
      <c r="F40" s="2"/>
      <c r="G40" s="2"/>
      <c r="H40" s="5"/>
      <c r="I40" s="2"/>
      <c r="J40" s="11"/>
      <c r="K40" s="11"/>
      <c r="L40" s="5"/>
      <c r="O40" s="2"/>
      <c r="P40" s="6"/>
      <c r="Q40" s="2"/>
      <c r="R40" s="4"/>
      <c r="S40" s="5"/>
      <c r="T40" s="5"/>
      <c r="U40" s="2"/>
    </row>
    <row r="41" spans="1:25" ht="14.25" customHeight="1">
      <c r="B41" s="2"/>
      <c r="C41" s="2"/>
      <c r="D41" s="2"/>
      <c r="E41" s="2"/>
      <c r="F41" s="2"/>
      <c r="G41" s="2"/>
      <c r="H41" s="5">
        <f>SUM(H24:H32)</f>
        <v>100000</v>
      </c>
      <c r="I41" s="2"/>
      <c r="J41" s="2"/>
      <c r="K41" s="2"/>
      <c r="L41" s="5">
        <f>SUM(L24:L28)</f>
        <v>200100</v>
      </c>
      <c r="O41" s="2"/>
      <c r="P41" s="2"/>
      <c r="Q41" s="2"/>
      <c r="R41" s="4"/>
      <c r="S41" s="5"/>
      <c r="T41" s="5"/>
      <c r="U41" s="2"/>
    </row>
  </sheetData>
  <mergeCells count="13">
    <mergeCell ref="N34:Q34"/>
    <mergeCell ref="V34:Y34"/>
    <mergeCell ref="B33:E33"/>
    <mergeCell ref="K35:L35"/>
    <mergeCell ref="H35:J35"/>
    <mergeCell ref="B22:C22"/>
    <mergeCell ref="J21:K21"/>
    <mergeCell ref="A4:L4"/>
    <mergeCell ref="J13:L13"/>
    <mergeCell ref="H15:L15"/>
    <mergeCell ref="J9:L9"/>
    <mergeCell ref="F21:G21"/>
    <mergeCell ref="H21:I21"/>
  </mergeCells>
  <phoneticPr fontId="1"/>
  <printOptions horizontalCentered="1"/>
  <pageMargins left="0" right="0" top="0.39370078740157483" bottom="0" header="0" footer="0"/>
  <pageSetup paperSize="9" orientation="portrait" horizontalDpi="4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12</vt:i4>
      </vt:variant>
    </vt:vector>
  </HeadingPairs>
  <TitlesOfParts>
    <vt:vector size="25" baseType="lpstr">
      <vt:lpstr>データ</vt:lpstr>
      <vt:lpstr>輸入品消費税（日和産業）</vt:lpstr>
      <vt:lpstr>輸入品消費税（日清丸紅</vt:lpstr>
      <vt:lpstr>合計</vt:lpstr>
      <vt:lpstr>消費税負担分2025</vt:lpstr>
      <vt:lpstr>消費税負担分2024</vt:lpstr>
      <vt:lpstr>消費税負担分2023</vt:lpstr>
      <vt:lpstr>消費税負担分2022</vt:lpstr>
      <vt:lpstr>消費税負担分2021</vt:lpstr>
      <vt:lpstr>仮払い消費税（雪印） 2020</vt:lpstr>
      <vt:lpstr>仮払い消費税（雪印）2019</vt:lpstr>
      <vt:lpstr>メイズ消費税（雪印）マイナス</vt:lpstr>
      <vt:lpstr>メイズ消費税（日和）マイナス</vt:lpstr>
      <vt:lpstr>'メイズ消費税（雪印）マイナス'!Print_Area</vt:lpstr>
      <vt:lpstr>'メイズ消費税（日和）マイナス'!Print_Area</vt:lpstr>
      <vt:lpstr>'仮払い消費税（雪印） 2020'!Print_Area</vt:lpstr>
      <vt:lpstr>'仮払い消費税（雪印）2019'!Print_Area</vt:lpstr>
      <vt:lpstr>合計!Print_Area</vt:lpstr>
      <vt:lpstr>消費税負担分2021!Print_Area</vt:lpstr>
      <vt:lpstr>消費税負担分2022!Print_Area</vt:lpstr>
      <vt:lpstr>消費税負担分2023!Print_Area</vt:lpstr>
      <vt:lpstr>消費税負担分2024!Print_Area</vt:lpstr>
      <vt:lpstr>消費税負担分2025!Print_Area</vt:lpstr>
      <vt:lpstr>'輸入品消費税（日清丸紅'!Print_Area</vt:lpstr>
      <vt:lpstr>'輸入品消費税（日和産業）'!Print_Area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USER06</cp:lastModifiedBy>
  <cp:lastPrinted>2025-08-29T04:38:51Z</cp:lastPrinted>
  <dcterms:created xsi:type="dcterms:W3CDTF">2002-09-26T05:34:29Z</dcterms:created>
  <dcterms:modified xsi:type="dcterms:W3CDTF">2025-09-03T02:37:54Z</dcterms:modified>
</cp:coreProperties>
</file>